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kumenter\"/>
    </mc:Choice>
  </mc:AlternateContent>
  <xr:revisionPtr revIDLastSave="0" documentId="8_{F773306B-FD21-A742-AB21-A6D3A8DD75C1}" xr6:coauthVersionLast="47" xr6:coauthVersionMax="47" xr10:uidLastSave="{00000000-0000-0000-0000-000000000000}"/>
  <bookViews>
    <workbookView xWindow="-120" yWindow="-120" windowWidth="15600" windowHeight="11160" activeTab="1" xr2:uid="{0F4DFF97-7436-49D7-A180-D0F1E5D0A6AF}"/>
  </bookViews>
  <sheets>
    <sheet name="Sheet1" sheetId="1" r:id="rId1"/>
    <sheet name="Sheet2" sheetId="2" r:id="rId2"/>
    <sheet name="Sheet3" sheetId="3" r:id="rId3"/>
    <sheet name="Sheet4" sheetId="4" r:id="rId4"/>
    <sheet name="SOURCE" sheetId="5" r:id="rId5"/>
  </sheets>
  <definedNames>
    <definedName name="D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H8" i="4"/>
  <c r="F8" i="4"/>
  <c r="E29" i="1"/>
  <c r="M29" i="1"/>
  <c r="F35" i="4"/>
  <c r="E46" i="1"/>
  <c r="E35" i="1"/>
  <c r="E42" i="1"/>
  <c r="E45" i="1"/>
  <c r="E38" i="1"/>
  <c r="E37" i="1"/>
  <c r="E46" i="2"/>
  <c r="E38" i="2"/>
  <c r="E35" i="2"/>
  <c r="E37" i="2"/>
  <c r="E29" i="2"/>
  <c r="M29" i="2"/>
  <c r="H35" i="4"/>
  <c r="E15" i="2"/>
  <c r="M27" i="2"/>
  <c r="M30" i="2"/>
  <c r="M31" i="2"/>
  <c r="H37" i="4"/>
  <c r="E35" i="3"/>
  <c r="E42" i="3"/>
  <c r="M33" i="1"/>
  <c r="F39" i="4"/>
  <c r="M33" i="2"/>
  <c r="H39" i="4"/>
  <c r="M33" i="3"/>
  <c r="J39" i="4"/>
  <c r="F26" i="3"/>
  <c r="F26" i="2"/>
  <c r="F26" i="1"/>
  <c r="M8" i="2"/>
  <c r="E55" i="2"/>
  <c r="E15" i="3"/>
  <c r="E24" i="3"/>
  <c r="M36" i="3"/>
  <c r="M31" i="3"/>
  <c r="J37" i="4"/>
  <c r="M30" i="3"/>
  <c r="J36" i="4"/>
  <c r="M31" i="1"/>
  <c r="F37" i="4"/>
  <c r="E55" i="1"/>
  <c r="F50" i="4"/>
  <c r="J51" i="4"/>
  <c r="E55" i="3"/>
  <c r="J50" i="4"/>
  <c r="J49" i="4"/>
  <c r="J48" i="4"/>
  <c r="E52" i="3"/>
  <c r="J47" i="4"/>
  <c r="J46" i="4"/>
  <c r="J45" i="4"/>
  <c r="H51" i="4"/>
  <c r="H49" i="4"/>
  <c r="H48" i="4"/>
  <c r="F45" i="4"/>
  <c r="H46" i="4"/>
  <c r="H45" i="4"/>
  <c r="F51" i="4"/>
  <c r="F49" i="4"/>
  <c r="F48" i="4"/>
  <c r="F46" i="4"/>
  <c r="K8" i="4"/>
  <c r="I8" i="4"/>
  <c r="G8" i="4"/>
  <c r="J7" i="4"/>
  <c r="H7" i="4"/>
  <c r="F7" i="4"/>
  <c r="D3" i="3"/>
  <c r="D3" i="2"/>
  <c r="D3" i="1"/>
  <c r="J42" i="4"/>
  <c r="M19" i="3"/>
  <c r="J25" i="4"/>
  <c r="J27" i="4"/>
  <c r="M22" i="3"/>
  <c r="J28" i="4"/>
  <c r="M25" i="3"/>
  <c r="J31" i="4"/>
  <c r="M26" i="3"/>
  <c r="J32" i="4"/>
  <c r="M27" i="3"/>
  <c r="J33" i="4"/>
  <c r="H27" i="4"/>
  <c r="F27" i="4"/>
  <c r="M12" i="3"/>
  <c r="J18" i="4"/>
  <c r="M13" i="3"/>
  <c r="J19" i="4"/>
  <c r="M14" i="3"/>
  <c r="J20" i="4"/>
  <c r="M13" i="2"/>
  <c r="H19" i="4"/>
  <c r="M11" i="3"/>
  <c r="J17" i="4"/>
  <c r="M5" i="3"/>
  <c r="J11" i="4"/>
  <c r="M6" i="3"/>
  <c r="J12" i="4"/>
  <c r="M7" i="3"/>
  <c r="J13" i="4"/>
  <c r="M8" i="3"/>
  <c r="J14" i="4"/>
  <c r="M9" i="3"/>
  <c r="J15" i="4"/>
  <c r="M4" i="3"/>
  <c r="J10" i="4"/>
  <c r="M4" i="2"/>
  <c r="H10" i="4"/>
  <c r="M4" i="1"/>
  <c r="F10" i="4"/>
  <c r="E46" i="3"/>
  <c r="M32" i="3"/>
  <c r="M35" i="3"/>
  <c r="E38" i="3"/>
  <c r="E29" i="3"/>
  <c r="M29" i="3"/>
  <c r="J35" i="4"/>
  <c r="G26" i="3"/>
  <c r="E26" i="3"/>
  <c r="E25" i="3"/>
  <c r="M20" i="3"/>
  <c r="J26" i="4"/>
  <c r="M17" i="3"/>
  <c r="M18" i="3"/>
  <c r="J24" i="4"/>
  <c r="M15" i="3"/>
  <c r="J21" i="4"/>
  <c r="M37" i="3"/>
  <c r="J43" i="4"/>
  <c r="H50" i="4"/>
  <c r="E52" i="2"/>
  <c r="H47" i="4"/>
  <c r="M26" i="2"/>
  <c r="H32" i="4"/>
  <c r="G26" i="2"/>
  <c r="E26" i="2"/>
  <c r="M25" i="2"/>
  <c r="H31" i="4"/>
  <c r="E24" i="2"/>
  <c r="E25" i="2"/>
  <c r="M22" i="2"/>
  <c r="H28" i="4"/>
  <c r="M19" i="2"/>
  <c r="H25" i="4"/>
  <c r="M17" i="2"/>
  <c r="M18" i="2"/>
  <c r="H24" i="4"/>
  <c r="M15" i="2"/>
  <c r="H21" i="4"/>
  <c r="M14" i="2"/>
  <c r="H20" i="4"/>
  <c r="M11" i="2"/>
  <c r="H17" i="4"/>
  <c r="M9" i="2"/>
  <c r="H15" i="4"/>
  <c r="M7" i="2"/>
  <c r="H13" i="4"/>
  <c r="M6" i="2"/>
  <c r="H12" i="4"/>
  <c r="M5" i="2"/>
  <c r="H11" i="4"/>
  <c r="M8" i="1"/>
  <c r="M9" i="1"/>
  <c r="F15" i="4"/>
  <c r="M15" i="1"/>
  <c r="F21" i="4"/>
  <c r="M17" i="1"/>
  <c r="M18" i="1"/>
  <c r="F24" i="4"/>
  <c r="E52" i="1"/>
  <c r="F47" i="4"/>
  <c r="M26" i="1"/>
  <c r="F32" i="4"/>
  <c r="M25" i="1"/>
  <c r="F31" i="4"/>
  <c r="G26" i="1"/>
  <c r="E26" i="1"/>
  <c r="M22" i="1"/>
  <c r="F28" i="4"/>
  <c r="E24" i="1"/>
  <c r="E25" i="1"/>
  <c r="M19" i="1"/>
  <c r="M20" i="1"/>
  <c r="M14" i="1"/>
  <c r="F20" i="4"/>
  <c r="M13" i="1"/>
  <c r="F19" i="4"/>
  <c r="E15" i="1"/>
  <c r="M30" i="1"/>
  <c r="F36" i="4"/>
  <c r="M7" i="1"/>
  <c r="F13" i="4"/>
  <c r="M6" i="1"/>
  <c r="F12" i="4"/>
  <c r="M5" i="1"/>
  <c r="F11" i="4"/>
  <c r="E42" i="2"/>
  <c r="E45" i="2"/>
  <c r="J23" i="4"/>
  <c r="E44" i="1"/>
  <c r="M32" i="1"/>
  <c r="M35" i="1"/>
  <c r="J38" i="4"/>
  <c r="F23" i="4"/>
  <c r="M36" i="1"/>
  <c r="M37" i="1"/>
  <c r="M23" i="1"/>
  <c r="F29" i="4"/>
  <c r="M20" i="2"/>
  <c r="H26" i="4"/>
  <c r="M36" i="2"/>
  <c r="M37" i="2"/>
  <c r="H43" i="4"/>
  <c r="M12" i="2"/>
  <c r="H18" i="4"/>
  <c r="H14" i="4"/>
  <c r="H23" i="4"/>
  <c r="H42" i="4"/>
  <c r="H36" i="4"/>
  <c r="F26" i="4"/>
  <c r="F25" i="4"/>
  <c r="M24" i="1"/>
  <c r="F30" i="4"/>
  <c r="J41" i="4"/>
  <c r="F41" i="4"/>
  <c r="F14" i="4"/>
  <c r="M24" i="3"/>
  <c r="J30" i="4"/>
  <c r="M23" i="3"/>
  <c r="J29" i="4"/>
  <c r="E44" i="3"/>
  <c r="E45" i="3"/>
  <c r="E37" i="3"/>
  <c r="H33" i="4"/>
  <c r="M12" i="1"/>
  <c r="F18" i="4"/>
  <c r="M27" i="1"/>
  <c r="F33" i="4"/>
  <c r="M11" i="1"/>
  <c r="F17" i="4"/>
  <c r="E44" i="2"/>
  <c r="M32" i="2"/>
  <c r="M35" i="2"/>
  <c r="H41" i="4"/>
  <c r="F38" i="4"/>
  <c r="M24" i="2"/>
  <c r="H30" i="4"/>
  <c r="M23" i="2"/>
  <c r="H29" i="4"/>
  <c r="F43" i="4"/>
  <c r="F42" i="4"/>
  <c r="H3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J3" authorId="0" shapeId="0" xr:uid="{12AB1D40-AF0B-48D7-8251-FC009529054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Liquidity ratios determine a company's ability to cover short-term obligations</t>
        </r>
      </text>
    </comment>
    <comment ref="J4" authorId="0" shapeId="0" xr:uid="{2F5950B7-887E-4496-BD86-EDAF2C8C88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current ratio measures a company's ability to pay off its current liabilities 
</t>
        </r>
      </text>
    </comment>
    <comment ref="J5" authorId="0" shapeId="0" xr:uid="{7A061DAC-A150-415A-970F-DB83440E89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 </t>
        </r>
        <r>
          <rPr>
            <b/>
            <sz val="9"/>
            <color indexed="81"/>
            <rFont val="Tahoma"/>
            <family val="2"/>
          </rPr>
          <t>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J6" authorId="0" shapeId="0" xr:uid="{4E8C7B32-686A-465D-B158-F2C9741E01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</t>
        </r>
        <r>
          <rPr>
            <b/>
            <sz val="9"/>
            <color indexed="81"/>
            <rFont val="Tahoma"/>
            <family val="2"/>
          </rPr>
          <t xml:space="preserve"> 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J7" authorId="0" shapeId="0" xr:uid="{739B7C59-F823-459C-A388-734C26FC36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cash ratio measures a company's ability to cover its</t>
        </r>
        <r>
          <rPr>
            <b/>
            <sz val="9"/>
            <color indexed="81"/>
            <rFont val="Tahoma"/>
            <family val="2"/>
          </rPr>
          <t xml:space="preserve"> short-term</t>
        </r>
        <r>
          <rPr>
            <sz val="9"/>
            <color indexed="81"/>
            <rFont val="Tahoma"/>
            <family val="2"/>
          </rPr>
          <t xml:space="preserve"> obligations using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cash and cash equivalents.</t>
        </r>
      </text>
    </comment>
    <comment ref="J8" authorId="0" shapeId="0" xr:uid="{E978FA6B-E7FF-4A71-AFB7-A1FC3157A7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It measures a company’s liquidity and short-term financial health, indicating the ability to fund operations</t>
        </r>
      </text>
    </comment>
    <comment ref="J9" authorId="0" shapeId="0" xr:uid="{62F46DB2-EE8C-404C-AC76-B0E9A517A68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indicate how capable a company is of meeting its current financial obligations</t>
        </r>
      </text>
    </comment>
    <comment ref="J10" authorId="0" shapeId="0" xr:uid="{54C849AC-406A-4C53-86BE-E1F46E7621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are used by investors to see how well a company can deal with its long-term financial obligations</t>
        </r>
      </text>
    </comment>
    <comment ref="J11" authorId="0" shapeId="0" xr:uid="{4AE62801-C9E1-45CD-9644-ECD9C179439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defines how much debt a company carries compared to the value of the assets it owns.</t>
        </r>
      </text>
    </comment>
    <comment ref="J12" authorId="0" shapeId="0" xr:uid="{21511A3F-A9F5-484A-AE2F-A51173CF03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debt rather than its own resources.</t>
        </r>
      </text>
    </comment>
    <comment ref="J13" authorId="0" shapeId="0" xr:uid="{DEC35E3D-EC99-4035-A6A6-2529F6DF89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current liabilities rather than its own resources.</t>
        </r>
      </text>
    </comment>
    <comment ref="J14" authorId="0" shapeId="0" xr:uid="{8273447D-401F-41E6-A7F2-2E149D84AA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shareholder equity ratio indicates how much of a company's assets have been generated  equity  rather than by taking on debt</t>
        </r>
      </text>
    </comment>
    <comment ref="J15" authorId="0" shapeId="0" xr:uid="{01897606-49D0-4FC0-A1AE-A4A43A2F8C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how well a firm can pay the interest due on outstanding debt</t>
        </r>
      </text>
    </comment>
    <comment ref="J16" authorId="0" shapeId="0" xr:uid="{AF14B749-FC5A-4FE9-B701-B51B3CF8DA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ratios are financial metrics used to gauge how efficient a company’s operations are</t>
        </r>
      </text>
    </comment>
    <comment ref="J17" authorId="0" shapeId="0" xr:uid="{FC492B8C-6A54-49F8-98DA-69DDCE21A4BF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is the number of times a business sells and replaces its stock of goods during a given period</t>
        </r>
      </text>
    </comment>
    <comment ref="J18" authorId="0" shapeId="0" xr:uid="{9FFDE38E-44C9-4583-B02C-5B6E7AEBE28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Inventory Outstanding (DIO) is the number of days, on average, it takes a company to turn its inventory into sales</t>
        </r>
      </text>
    </comment>
    <comment ref="J19" authorId="0" shapeId="0" xr:uid="{086C267F-1A68-458D-8FD4-25303D8555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Accounts receivables turnover determines an entity’s ability to collect money from its customers.</t>
        </r>
      </text>
    </comment>
    <comment ref="J20" authorId="0" shapeId="0" xr:uid="{B24C62D5-B23F-44AA-9320-A7687106C5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Sales Outstanding (DSO) is the number of days, on average, it takes a company to collect its receivables</t>
        </r>
      </text>
    </comment>
    <comment ref="J21" authorId="0" shapeId="0" xr:uid="{CB4E0F28-9B30-47CF-8B40-192EFB52DA7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Payables turnover measures how quickly a company is paying off its accounts payable to creditors.</t>
        </r>
      </text>
    </comment>
    <comment ref="J22" authorId="0" shapeId="0" xr:uid="{210AF383-6D7C-4286-A420-914477EA45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Payable Outstanding (DPO) indicates the average time (in days) that a company takes to pay its  invoices to its trade creditors, suppliers, vendors, or financiers.</t>
        </r>
      </text>
    </comment>
    <comment ref="J23" authorId="0" shapeId="0" xr:uid="{999459BE-2416-4F07-A3DF-678168F2FA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 Operating Cycle (OC) refers to the days required for a business to receive inventory, sell the inventory, and collect cash from the sale of the inventory. This cycle plays a major role in determining the efficiency of a business.
</t>
        </r>
      </text>
    </comment>
    <comment ref="J24" authorId="0" shapeId="0" xr:uid="{6ECE1D20-BADC-40EB-8C3A-A7B855FBBA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amount of time it takes a company to convert its investments in inventory to cash.</t>
        </r>
      </text>
    </comment>
    <comment ref="J25" authorId="0" shapeId="0" xr:uid="{C1D77113-2707-421C-A2CF-A89065D2D1A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Non-current  assets to produce sales</t>
        </r>
      </text>
    </comment>
    <comment ref="J26" authorId="0" shapeId="0" xr:uid="{596DF886-2D89-4417-8F8B-61147D81DC8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current  assets to produce sales</t>
        </r>
      </text>
    </comment>
    <comment ref="J27" authorId="0" shapeId="0" xr:uid="{F6082229-9233-45F9-A43E-5E0C140822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total assets to produce sales</t>
        </r>
      </text>
    </comment>
    <comment ref="J28" authorId="0" shapeId="0" xr:uid="{8B905CEE-4E32-41BF-9D74-6E2FD4DFEB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Profitability ratios are financial metrics used by analysts and investors to measure and evaluate the ability of a company to generate income (profit)</t>
        </r>
      </text>
    </comment>
    <comment ref="J29" authorId="0" shapeId="0" xr:uid="{711D156C-66CE-406E-BA50-E648DFEC1A5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Gross margin measures a company's gross profit compared to its revenues as a percentage.
</t>
        </r>
      </text>
    </comment>
    <comment ref="J30" authorId="0" shapeId="0" xr:uid="{8F0E13AA-A749-456C-AF17-B7DDE520C0C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percentage of net earnings relative to the company’s total assets</t>
        </r>
      </text>
    </comment>
    <comment ref="J31" authorId="0" shapeId="0" xr:uid="{D716FB72-3493-4B92-BC66-27979DB370D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expresses the percentage of net income relative to stockholders’ equity</t>
        </r>
      </text>
    </comment>
    <comment ref="J32" authorId="0" shapeId="0" xr:uid="{C5734ED1-0B78-4B14-BE8C-3FDDA5A576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Earnings per share (EPS) is a company's net income divided by its outstanding shares of common stock</t>
        </r>
      </text>
    </comment>
    <comment ref="J33" authorId="0" shapeId="0" xr:uid="{C599C808-7364-4EF7-80AC-09BC6D843A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used to determine the efficiency at which a company converts its sales into operating profit.</t>
        </r>
      </text>
    </comment>
    <comment ref="J34" authorId="0" shapeId="0" xr:uid="{CBBB2A26-340D-4742-BFF9-5B3E0B8128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They can give investors an understanding of how inexpensive or expensive the stock is relative to the market.</t>
        </r>
      </text>
    </comment>
    <comment ref="J35" authorId="0" shapeId="0" xr:uid="{12F5DC94-2DA9-450C-9718-CF95D635CC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a company's share price relative to its earnings per share (EPS)</t>
        </r>
      </text>
    </comment>
    <comment ref="J36" authorId="0" shapeId="0" xr:uid="{07A7566A-90D6-42DA-824B-B2FA24E2A4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BVPS represents the value of equity that remains after paying up all debts and the company’s assets liquidated.
 </t>
        </r>
      </text>
    </comment>
    <comment ref="J37" authorId="0" shapeId="0" xr:uid="{32061C1E-5CED-470B-9928-B97DD05096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the market's valuation of a company relative to its book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J3" authorId="0" shapeId="0" xr:uid="{1317B49F-2BDD-4841-8CD5-5A591DE2CF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Liquidity ratios determine a company's ability to cover short-term obligations</t>
        </r>
      </text>
    </comment>
    <comment ref="J4" authorId="0" shapeId="0" xr:uid="{BD73CAE0-3BB0-4786-AF5B-C9FD251B70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current ratio measures a company's ability to pay off its current liabilities 
</t>
        </r>
      </text>
    </comment>
    <comment ref="J5" authorId="0" shapeId="0" xr:uid="{1E0749D5-4A44-456C-AC00-C1E63A25D9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 </t>
        </r>
        <r>
          <rPr>
            <b/>
            <sz val="9"/>
            <color indexed="81"/>
            <rFont val="Tahoma"/>
            <family val="2"/>
          </rPr>
          <t>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J6" authorId="0" shapeId="0" xr:uid="{257F442E-9897-46F0-AACD-B8E8846C8FB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</t>
        </r>
        <r>
          <rPr>
            <b/>
            <sz val="9"/>
            <color indexed="81"/>
            <rFont val="Tahoma"/>
            <family val="2"/>
          </rPr>
          <t xml:space="preserve"> 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J7" authorId="0" shapeId="0" xr:uid="{0B0F3F9F-D7A1-4472-80C4-E982A13C357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cash ratio measures a company's ability to cover its</t>
        </r>
        <r>
          <rPr>
            <b/>
            <sz val="9"/>
            <color indexed="81"/>
            <rFont val="Tahoma"/>
            <family val="2"/>
          </rPr>
          <t xml:space="preserve"> short-term</t>
        </r>
        <r>
          <rPr>
            <sz val="9"/>
            <color indexed="81"/>
            <rFont val="Tahoma"/>
            <family val="2"/>
          </rPr>
          <t xml:space="preserve"> obligations using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cash and cash equivalents.</t>
        </r>
      </text>
    </comment>
    <comment ref="J8" authorId="0" shapeId="0" xr:uid="{9D64FAF1-B089-4D01-9ADD-094466ADEF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It measures a company’s liquidity and short-term financial health, indicating the ability to fund operations</t>
        </r>
      </text>
    </comment>
    <comment ref="J9" authorId="0" shapeId="0" xr:uid="{2E015825-A02F-4237-933B-92BCB4846E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indicate how capable a company is of meeting its current financial obligations</t>
        </r>
      </text>
    </comment>
    <comment ref="J10" authorId="0" shapeId="0" xr:uid="{BA16EFDC-126E-4093-B0B5-E9140A23FE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are used by investors to see how well a company can deal with its long-term financial obligations</t>
        </r>
      </text>
    </comment>
    <comment ref="J11" authorId="0" shapeId="0" xr:uid="{923CA517-F9E0-4590-B3F2-5D326B0D855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defines how much debt a company carries compared to the value of the assets it owns.</t>
        </r>
      </text>
    </comment>
    <comment ref="J12" authorId="0" shapeId="0" xr:uid="{4301DDDC-079B-48FD-B63D-50E65EA2EA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debt rather than its own resources.</t>
        </r>
      </text>
    </comment>
    <comment ref="J13" authorId="0" shapeId="0" xr:uid="{BF5E630C-7F3C-4F60-AB31-4CE45F95C2F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current liabilities rather than its own resources.</t>
        </r>
      </text>
    </comment>
    <comment ref="J14" authorId="0" shapeId="0" xr:uid="{3FD1A153-4ECC-4888-BB84-E345D67F02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shareholder equity ratio indicates how much of a company's assets have been generated  equity  rather than by taking on debt</t>
        </r>
      </text>
    </comment>
    <comment ref="J15" authorId="0" shapeId="0" xr:uid="{0A757720-E23A-4D9C-8BB6-3B8A552603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how well a firm can pay the interest due on outstanding debt</t>
        </r>
      </text>
    </comment>
    <comment ref="J16" authorId="0" shapeId="0" xr:uid="{541C38CE-63A6-4DD5-84A2-52FFB59F192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ratios are financial metrics used to gauge how efficient a company’s operations are</t>
        </r>
      </text>
    </comment>
    <comment ref="J17" authorId="0" shapeId="0" xr:uid="{9E35EF6B-571A-47B6-ACB9-2A70185DFA2F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is the number of times a business sells and replaces its stock of goods during a given period</t>
        </r>
      </text>
    </comment>
    <comment ref="J18" authorId="0" shapeId="0" xr:uid="{2002DFF8-BE2B-46EC-ACF2-D9A6CA617E5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Inventory Outstanding (DIO) is the number of days, on average, it takes a company to turn its inventory into sales</t>
        </r>
      </text>
    </comment>
    <comment ref="J19" authorId="0" shapeId="0" xr:uid="{1B495A97-E79A-49B0-916E-421789914F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Accounts receivables turnover determines an entity’s ability to collect money from its customers.</t>
        </r>
      </text>
    </comment>
    <comment ref="J20" authorId="0" shapeId="0" xr:uid="{4A4D92CB-C224-46ED-811A-3C076C8AE70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Sales Outstanding (DSO) is the number of days, on average, it takes a company to collect its receivables</t>
        </r>
      </text>
    </comment>
    <comment ref="J21" authorId="0" shapeId="0" xr:uid="{01D319E0-7159-4BA5-B975-1A3CE07EE2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Payables turnover measures how quickly a company is paying off its accounts payable to creditors.</t>
        </r>
      </text>
    </comment>
    <comment ref="J22" authorId="0" shapeId="0" xr:uid="{BB007E66-9EAA-406D-8720-27D3EDC057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Payable Outstanding (DPO) indicates the average time (in days) that a company takes to pay its  invoices to its trade creditors, suppliers, vendors, or financiers.</t>
        </r>
      </text>
    </comment>
    <comment ref="J23" authorId="0" shapeId="0" xr:uid="{C716C1D3-11AE-4A15-A646-B3CFBD1F14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 Operating Cycle (OC) refers to the days required for a business to receive inventory, sell the inventory, and collect cash from the sale of the inventory. This cycle plays a major role in determining the efficiency of a business.
</t>
        </r>
      </text>
    </comment>
    <comment ref="J24" authorId="0" shapeId="0" xr:uid="{043B7FD1-B821-473D-A8DE-BDF9629C69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amount of time it takes a company to convert its investments in inventory to cash.</t>
        </r>
      </text>
    </comment>
    <comment ref="J25" authorId="0" shapeId="0" xr:uid="{9DF0EEC9-F73F-4D5B-BF29-9BA0B34B22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Non-current  assets to produce sales</t>
        </r>
      </text>
    </comment>
    <comment ref="J26" authorId="0" shapeId="0" xr:uid="{3332A5D0-F685-424B-878F-2599270C68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current  assets to produce sales</t>
        </r>
      </text>
    </comment>
    <comment ref="J27" authorId="0" shapeId="0" xr:uid="{FB244F98-E318-4381-8368-E2CCD9EE6CF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total assets to produce sales</t>
        </r>
      </text>
    </comment>
    <comment ref="J28" authorId="0" shapeId="0" xr:uid="{8BF68EA2-C859-426F-B6BC-9F401EE00A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Profitability ratios are financial metrics used by analysts and investors to measure and evaluate the ability of a company to generate income (profit)</t>
        </r>
      </text>
    </comment>
    <comment ref="J29" authorId="0" shapeId="0" xr:uid="{C8301B14-AB89-424B-946E-0A8E2A9119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Gross margin measures a company's gross profit compared to its revenues as a percentage.
</t>
        </r>
      </text>
    </comment>
    <comment ref="J30" authorId="0" shapeId="0" xr:uid="{85EF33AC-FEFD-4A22-88B8-37DDC03A079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percentage of net earnings relative to the company’s total assets</t>
        </r>
      </text>
    </comment>
    <comment ref="J31" authorId="0" shapeId="0" xr:uid="{7D8D221D-322B-4913-8A0E-9E05E52F608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expresses the percentage of net income relative to stockholders’ equity</t>
        </r>
      </text>
    </comment>
    <comment ref="J32" authorId="0" shapeId="0" xr:uid="{FC82531A-C6C4-4C14-BE16-003318F0F1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Earnings per share (EPS) is a company's net income divided by its outstanding shares of common stock</t>
        </r>
      </text>
    </comment>
    <comment ref="J33" authorId="0" shapeId="0" xr:uid="{CBE99057-C1D8-477C-BDA7-727693252D0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used to determine the efficiency at which a company converts its sales into operating profit.</t>
        </r>
      </text>
    </comment>
    <comment ref="J34" authorId="0" shapeId="0" xr:uid="{D7C0D494-CD63-4A08-88CD-6AF0FEB7817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They can give investors an understanding of how inexpensive or expensive the stock is relative to the market.</t>
        </r>
      </text>
    </comment>
    <comment ref="J35" authorId="0" shapeId="0" xr:uid="{6F3FA491-4353-4BD4-8636-6D9016636AA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a company's share price relative to its earnings per share (EPS)</t>
        </r>
      </text>
    </comment>
    <comment ref="J36" authorId="0" shapeId="0" xr:uid="{EC6568E5-E760-4C4D-8B7C-082C95747A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BVPS represents the value of equity that remains after paying up all debts and the company’s assets liquidated.
 </t>
        </r>
      </text>
    </comment>
    <comment ref="J37" authorId="0" shapeId="0" xr:uid="{F4939ECF-42F7-4B21-BECA-025F048449B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the market's valuation of a company relative to its book value.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J3" authorId="0" shapeId="0" xr:uid="{97E99BEB-ACEF-4F70-9696-005888F62B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Liquidity ratios determine a company's ability to cover short-term obligations</t>
        </r>
      </text>
    </comment>
    <comment ref="J4" authorId="0" shapeId="0" xr:uid="{732937AC-8F73-41B2-9193-3350A835B6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current ratio measures a company's ability to pay off its current liabilities 
</t>
        </r>
      </text>
    </comment>
    <comment ref="J5" authorId="0" shapeId="0" xr:uid="{64611248-E071-4228-ACFD-84CAD64223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 </t>
        </r>
        <r>
          <rPr>
            <b/>
            <sz val="9"/>
            <color indexed="81"/>
            <rFont val="Tahoma"/>
            <family val="2"/>
          </rPr>
          <t>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J6" authorId="0" shapeId="0" xr:uid="{41C5B2CB-1F2D-4139-9B4A-3FD934D1DE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</t>
        </r>
        <r>
          <rPr>
            <b/>
            <sz val="9"/>
            <color indexed="81"/>
            <rFont val="Tahoma"/>
            <family val="2"/>
          </rPr>
          <t xml:space="preserve"> 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J7" authorId="0" shapeId="0" xr:uid="{6DA4EFC6-532E-48B4-819E-EF5E112CC0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cash ratio measures a company's ability to cover its</t>
        </r>
        <r>
          <rPr>
            <b/>
            <sz val="9"/>
            <color indexed="81"/>
            <rFont val="Tahoma"/>
            <family val="2"/>
          </rPr>
          <t xml:space="preserve"> short-term</t>
        </r>
        <r>
          <rPr>
            <sz val="9"/>
            <color indexed="81"/>
            <rFont val="Tahoma"/>
            <family val="2"/>
          </rPr>
          <t xml:space="preserve"> obligations using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cash and cash equivalents.</t>
        </r>
      </text>
    </comment>
    <comment ref="J8" authorId="0" shapeId="0" xr:uid="{41AE8D90-F231-4BFF-9D81-5CAFAED244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It measures a company’s liquidity and short-term financial health, indicating the ability to fund operations</t>
        </r>
      </text>
    </comment>
    <comment ref="J9" authorId="0" shapeId="0" xr:uid="{A4B07419-AE4E-4889-BD68-833F718215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indicate how capable a company is of meeting its current financial obligations</t>
        </r>
      </text>
    </comment>
    <comment ref="J10" authorId="0" shapeId="0" xr:uid="{F07FE59F-18DE-4A73-988F-844C43C532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are used by investors to see how well a company can deal with its long-term financial obligations</t>
        </r>
      </text>
    </comment>
    <comment ref="J11" authorId="0" shapeId="0" xr:uid="{8373415C-0062-4C27-B9EA-5980294E51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defines how much debt a company carries compared to the value of the assets it owns.</t>
        </r>
      </text>
    </comment>
    <comment ref="J12" authorId="0" shapeId="0" xr:uid="{C849D6F5-4C2C-4A42-BF23-0633D8E9BE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debt rather than its own resources.</t>
        </r>
      </text>
    </comment>
    <comment ref="J13" authorId="0" shapeId="0" xr:uid="{04221A7C-68F4-4200-8970-A5FC4EF6AEC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current liabilities rather than its own resources.</t>
        </r>
      </text>
    </comment>
    <comment ref="J14" authorId="0" shapeId="0" xr:uid="{23FE4AFB-392F-43C1-BC29-DAE8132451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shareholder equity ratio indicates how much of a company's assets have been generated  equity  rather than by taking on debt</t>
        </r>
      </text>
    </comment>
    <comment ref="J15" authorId="0" shapeId="0" xr:uid="{019EA50D-D8FC-484E-BDB1-62E9371FABE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how well a firm can pay the interest due on outstanding debt</t>
        </r>
      </text>
    </comment>
    <comment ref="J16" authorId="0" shapeId="0" xr:uid="{7D8787CA-CA07-4F73-8831-4EE31D8B5E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ratios are financial metrics used to gauge how efficient a company’s operations are</t>
        </r>
      </text>
    </comment>
    <comment ref="J17" authorId="0" shapeId="0" xr:uid="{84786AC3-8490-49B8-B212-8745AECE5DAC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is the number of times a business sells and replaces its stock of goods during a given period</t>
        </r>
      </text>
    </comment>
    <comment ref="J18" authorId="0" shapeId="0" xr:uid="{7EFBCF0F-B93A-41FB-9ED1-06056AAA45E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Inventory Outstanding (DIO) is the number of days, on average, it takes a company to turn its inventory into sales</t>
        </r>
      </text>
    </comment>
    <comment ref="J19" authorId="0" shapeId="0" xr:uid="{0ED7532B-D02F-4551-AA05-286E9660911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Accounts receivables turnover determines an entity’s ability to collect money from its customers.</t>
        </r>
      </text>
    </comment>
    <comment ref="J20" authorId="0" shapeId="0" xr:uid="{08D7BA25-B171-4A1F-B01A-42AD63BD60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Sales Outstanding (DSO) is the number of days, on average, it takes a company to collect its receivables</t>
        </r>
      </text>
    </comment>
    <comment ref="J21" authorId="0" shapeId="0" xr:uid="{6728717F-3AEC-4546-BACB-29F5F19AE6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Payables turnover measures how quickly a company is paying off its accounts payable to creditors.</t>
        </r>
      </text>
    </comment>
    <comment ref="J22" authorId="0" shapeId="0" xr:uid="{E7EAC8FA-7272-4C41-87F9-F877CE4120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Payable Outstanding (DPO) indicates the average time (in days) that a company takes to pay its  invoices to its trade creditors, suppliers, vendors, or financiers.</t>
        </r>
      </text>
    </comment>
    <comment ref="J23" authorId="0" shapeId="0" xr:uid="{F3A8FE9A-C935-4D32-8C02-BE1892AEC2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 Operating Cycle (OC) refers to the days required for a business to receive inventory, sell the inventory, and collect cash from the sale of the inventory. This cycle plays a major role in determining the efficiency of a business.
</t>
        </r>
      </text>
    </comment>
    <comment ref="J24" authorId="0" shapeId="0" xr:uid="{BDD6BDB1-FDAF-4E93-81BA-A6922788AC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amount of time it takes a company to convert its investments in inventory to cash.</t>
        </r>
      </text>
    </comment>
    <comment ref="J25" authorId="0" shapeId="0" xr:uid="{F6BF2E58-AD2A-4A04-93B4-1F15306A56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Non-current  assets to produce sales</t>
        </r>
      </text>
    </comment>
    <comment ref="J26" authorId="0" shapeId="0" xr:uid="{239C6471-ADF6-40A3-A523-5552C8CD07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current  assets to produce sales</t>
        </r>
      </text>
    </comment>
    <comment ref="J27" authorId="0" shapeId="0" xr:uid="{7D789BD5-D65A-4159-ABFA-026CB292D3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total assets to produce sales</t>
        </r>
      </text>
    </comment>
    <comment ref="J28" authorId="0" shapeId="0" xr:uid="{D49DDCE3-296C-4EA9-919B-7D1AA60457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Profitability ratios are financial metrics used by analysts and investors to measure and evaluate the ability of a company to generate income (profit)</t>
        </r>
      </text>
    </comment>
    <comment ref="J29" authorId="0" shapeId="0" xr:uid="{F317A51F-79BA-408A-AF67-D0264A818A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Gross margin measures a company's gross profit compared to its revenues as a percentage.
</t>
        </r>
      </text>
    </comment>
    <comment ref="J30" authorId="0" shapeId="0" xr:uid="{72EBB03F-2EE7-4173-9269-1063FF7DED3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percentage of net earnings relative to the company’s total assets</t>
        </r>
      </text>
    </comment>
    <comment ref="J31" authorId="0" shapeId="0" xr:uid="{165F16E5-9244-44A6-88AE-75052761FA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expresses the percentage of net income relative to stockholders’ equity</t>
        </r>
      </text>
    </comment>
    <comment ref="J32" authorId="0" shapeId="0" xr:uid="{88DFFBA3-B045-4C29-8C30-3BCA6B5F91C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Earnings per share (EPS) is a company's net income divided by its outstanding shares of common stock</t>
        </r>
      </text>
    </comment>
    <comment ref="J33" authorId="0" shapeId="0" xr:uid="{0611F1C4-0305-4C83-9E20-195528F8CD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used to determine the efficiency at which a company converts its sales into operating profit.</t>
        </r>
      </text>
    </comment>
    <comment ref="J34" authorId="0" shapeId="0" xr:uid="{61C8018E-748B-42D0-A65C-EF7E695C60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They can give investors an understanding of how inexpensive or expensive the stock is relative to the market.</t>
        </r>
      </text>
    </comment>
    <comment ref="J35" authorId="0" shapeId="0" xr:uid="{17070601-B974-4A87-8B64-24ADF059D6B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a company's share price relative to its earnings per share (EPS)</t>
        </r>
      </text>
    </comment>
    <comment ref="J36" authorId="0" shapeId="0" xr:uid="{DCD619E3-6AE4-4A60-86E3-3E042B4F2D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BVPS represents the value of equity that remains after paying up all debts and the company’s assets liquidated.
 </t>
        </r>
      </text>
    </comment>
    <comment ref="J37" authorId="0" shapeId="0" xr:uid="{A0BA8787-9839-466D-B35D-D7DDAF58AD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the market's valuation of a company relative to its book value.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9" authorId="0" shapeId="0" xr:uid="{401FD752-8BC6-4813-A19C-67C6AB8634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Liquidity ratios determine a company's ability to cover short-term obligations</t>
        </r>
      </text>
    </comment>
    <comment ref="C10" authorId="0" shapeId="0" xr:uid="{177908F5-23B5-4000-8B4D-8FC0A006C4F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current ratio measures a company's ability to pay off its current liabilities 
</t>
        </r>
      </text>
    </comment>
    <comment ref="C11" authorId="0" shapeId="0" xr:uid="{11C5172F-26DA-40D4-86FB-D1068CEF0B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 </t>
        </r>
        <r>
          <rPr>
            <b/>
            <sz val="9"/>
            <color indexed="81"/>
            <rFont val="Tahoma"/>
            <family val="2"/>
          </rPr>
          <t>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C12" authorId="0" shapeId="0" xr:uid="{E4EA30F9-7642-4E97-9592-2D126D87CC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quick ratio measures a company's ability to meet its short-term obligations with its most liquid assets and therefore excludes</t>
        </r>
        <r>
          <rPr>
            <b/>
            <sz val="9"/>
            <color indexed="81"/>
            <rFont val="Tahoma"/>
            <family val="2"/>
          </rPr>
          <t xml:space="preserve"> inventories or Accounts Receivable</t>
        </r>
        <r>
          <rPr>
            <sz val="9"/>
            <color indexed="81"/>
            <rFont val="Tahoma"/>
            <family val="2"/>
          </rPr>
          <t xml:space="preserve"> from its current assets.</t>
        </r>
      </text>
    </comment>
    <comment ref="C13" authorId="0" shapeId="0" xr:uid="{A669D46B-8A04-4812-91D1-7AFE88BD08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cash ratio measures a company's ability to cover its</t>
        </r>
        <r>
          <rPr>
            <b/>
            <sz val="9"/>
            <color indexed="81"/>
            <rFont val="Tahoma"/>
            <family val="2"/>
          </rPr>
          <t xml:space="preserve"> short-term</t>
        </r>
        <r>
          <rPr>
            <sz val="9"/>
            <color indexed="81"/>
            <rFont val="Tahoma"/>
            <family val="2"/>
          </rPr>
          <t xml:space="preserve"> obligations using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cash and cash equivalents.</t>
        </r>
      </text>
    </comment>
    <comment ref="C14" authorId="0" shapeId="0" xr:uid="{D1471B05-A4E3-4637-9B6C-6D0674EB860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It measures a company’s liquidity and short-term financial health, indicating the ability to fund operations</t>
        </r>
      </text>
    </comment>
    <comment ref="C15" authorId="0" shapeId="0" xr:uid="{1B3FF9E3-7B82-491F-9517-EC54E45346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indicate how capable a company is of meeting its current financial obligations</t>
        </r>
      </text>
    </comment>
    <comment ref="C16" authorId="0" shapeId="0" xr:uid="{07D17F46-5704-445D-A20A-5BBDDE26675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are used by investors to see how well a company can deal with its long-term financial obligations</t>
        </r>
      </text>
    </comment>
    <comment ref="C17" authorId="0" shapeId="0" xr:uid="{3D334253-ACF1-4636-B9EF-008744F97E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defines how much debt a company carries compared to the value of the assets it owns.</t>
        </r>
      </text>
    </comment>
    <comment ref="C18" authorId="0" shapeId="0" xr:uid="{B2BE60BD-728A-4580-AE7E-3AA4CEB43D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debt rather than its own resources.</t>
        </r>
      </text>
    </comment>
    <comment ref="C19" authorId="0" shapeId="0" xr:uid="{105F4FDD-B22C-4F05-A924-1B7B7BAABB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a company is financing its operations with total current liabilities rather than its own resources.</t>
        </r>
      </text>
    </comment>
    <comment ref="C20" authorId="0" shapeId="0" xr:uid="{233CF8D6-CB5E-4F7C-A9B3-F825241DD1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shareholder equity ratio indicates how much of a company's assets have been generated  equity  rather than by taking on debt</t>
        </r>
      </text>
    </comment>
    <comment ref="C21" authorId="0" shapeId="0" xr:uid="{239C30AF-5C37-4983-BC4D-F3BFEB5633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how well a firm can pay the interest due on outstanding debt</t>
        </r>
      </text>
    </comment>
    <comment ref="C22" authorId="0" shapeId="0" xr:uid="{43736327-60E0-43A9-AC92-25AD4D73B0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ratios are financial metrics used to gauge how efficient a company’s operations are
</t>
        </r>
      </text>
    </comment>
    <comment ref="C23" authorId="0" shapeId="0" xr:uid="{4D3C402F-7DF8-4E74-9563-DFD9D05B7AF3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is the number of times a business sells and replaces its stock of goods during a given period</t>
        </r>
      </text>
    </comment>
    <comment ref="C24" authorId="0" shapeId="0" xr:uid="{F55367B3-2556-48B3-93C9-4560FFA001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Inventory Outstanding (DIO) is the number of days, on average, it takes a company to turn its inventory into sales</t>
        </r>
      </text>
    </comment>
    <comment ref="C25" authorId="0" shapeId="0" xr:uid="{423518DD-A739-406F-8C35-D37AD9447D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Accounts receivables turnover determines an entity’s ability to collect money from its customers.</t>
        </r>
      </text>
    </comment>
    <comment ref="C26" authorId="0" shapeId="0" xr:uid="{43F49096-994F-4E1C-85FD-A5CE598B93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Sales Outstanding (DSO) is the number of days, on average, it takes a company to collect its receivables</t>
        </r>
      </text>
    </comment>
    <comment ref="C27" authorId="0" shapeId="0" xr:uid="{D19CF0E1-AC95-4530-B6B4-5A73CC5839A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Payables turnover measures how quickly a company is paying off its accounts payable to creditors.</t>
        </r>
      </text>
    </comment>
    <comment ref="C28" authorId="0" shapeId="0" xr:uid="{852ED39F-05FD-4F60-BA0C-BEA33BBBF3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Days Payable Outstanding (DPO) indicates the average time (in days) that a company takes to pay its  invoices to its trade creditors, suppliers, vendors, or financiers.</t>
        </r>
      </text>
    </comment>
    <comment ref="C29" authorId="0" shapeId="0" xr:uid="{0B241370-52BE-4356-83A5-21AC0B334F5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 Operating Cycle (OC) refers to the days required for a business to receive inventory, sell the inventory, and collect cash from the sale of the inventory. This cycle plays a major role in determining the efficiency of a business.
</t>
        </r>
      </text>
    </comment>
    <comment ref="C30" authorId="0" shapeId="0" xr:uid="{3C8CF508-9778-4B8D-85FD-240BA0E72D8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amount of time it takes a company to convert its investments in inventory to cash.</t>
        </r>
      </text>
    </comment>
    <comment ref="C31" authorId="0" shapeId="0" xr:uid="{7411C15C-3917-4B3F-90E9-760BC4EC870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Non-current  assets to produce sales</t>
        </r>
      </text>
    </comment>
    <comment ref="C32" authorId="0" shapeId="0" xr:uid="{659497B8-12A1-477E-A457-389C56F6F0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current  assets to produce sales</t>
        </r>
      </text>
    </comment>
    <comment ref="C33" authorId="0" shapeId="0" xr:uid="{ECE87A78-FE91-4DF5-BAF4-97EEDD8D5F3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ratio measures the efficiency of how well a company uses total assets to produce sales</t>
        </r>
      </text>
    </comment>
    <comment ref="C34" authorId="0" shapeId="0" xr:uid="{60A618D5-CF7A-4889-A6EB-BCFA646EE1E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Profitability ratios are financial metrics used by analysts and investors to measure and evaluate the ability of a company to generate income (profit)</t>
        </r>
      </text>
    </comment>
    <comment ref="C35" authorId="0" shapeId="0" xr:uid="{2DA09D6E-2722-4862-A5EB-1635088375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Gross margin measures a company's gross profit compared to its revenues as a percentage.
</t>
        </r>
      </text>
    </comment>
    <comment ref="C36" authorId="0" shapeId="0" xr:uid="{968D6D0D-7ABB-4205-8289-AA19AB8622C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shows the percentage of net earnings relative to the company’s total assets</t>
        </r>
      </text>
    </comment>
    <comment ref="C37" authorId="0" shapeId="0" xr:uid="{9455313E-01AB-4A4D-93C2-96AD46DE78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expresses the percentage of net income relative to stockholders’ equity</t>
        </r>
      </text>
    </comment>
    <comment ref="C38" authorId="0" shapeId="0" xr:uid="{286AA53B-CC79-4564-A12D-2C97163D29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Earnings per share (EPS) is a company's net income divided by its outstanding shares of common stock</t>
        </r>
      </text>
    </comment>
    <comment ref="C39" authorId="0" shapeId="0" xr:uid="{7E4CF7FB-0BF0-44FA-81BB-E683489E3D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used to determine the efficiency at which a company converts its sales into operating profit.</t>
        </r>
      </text>
    </comment>
    <comment ref="C40" authorId="0" shapeId="0" xr:uid="{BDBCC438-9AA7-4D55-81CB-3FC4D258576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They can give investors an understanding of how inexpensive or expensive the stock is relative to the market.</t>
        </r>
      </text>
    </comment>
    <comment ref="C41" authorId="0" shapeId="0" xr:uid="{0978E456-8D90-4723-ABF8-AC384941CB0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 measures a company's share price relative to its earnings per share (EPS)</t>
        </r>
      </text>
    </comment>
    <comment ref="C42" authorId="0" shapeId="0" xr:uid="{8380AABB-FE45-446F-AEB4-1E73ECE8C1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BVPS represents the value of equity that remains after paying up all debts and the company’s assets liquidated.
 </t>
        </r>
      </text>
    </comment>
    <comment ref="C43" authorId="0" shapeId="0" xr:uid="{CEA38D7C-E4EA-4A30-B869-7DF9B73C36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measures the market's valuation of a company relative to its book value.</t>
        </r>
      </text>
    </comment>
  </commentList>
</comments>
</file>

<file path=xl/sharedStrings.xml><?xml version="1.0" encoding="utf-8"?>
<sst xmlns="http://schemas.openxmlformats.org/spreadsheetml/2006/main" count="544" uniqueCount="309">
  <si>
    <t>السويدى اليكتريك</t>
  </si>
  <si>
    <t>ticker:</t>
  </si>
  <si>
    <t xml:space="preserve">Inventory     </t>
  </si>
  <si>
    <t>Share holders' Equity</t>
  </si>
  <si>
    <t xml:space="preserve">  Liabilities and Share holders equity</t>
  </si>
  <si>
    <t>Total assets</t>
  </si>
  <si>
    <t xml:space="preserve">Total liabilities </t>
  </si>
  <si>
    <t>Total equity</t>
  </si>
  <si>
    <t>Total liabilities and equity</t>
  </si>
  <si>
    <t xml:space="preserve"> Non-current liabilities</t>
  </si>
  <si>
    <t xml:space="preserve">  Liabilities</t>
  </si>
  <si>
    <t>Gross Profit</t>
  </si>
  <si>
    <t>interest expense</t>
  </si>
  <si>
    <t>earnings (loos) per shere</t>
  </si>
  <si>
    <t>Income tax expense</t>
  </si>
  <si>
    <t>Current assets</t>
  </si>
  <si>
    <t>Total Non-current assets</t>
  </si>
  <si>
    <t>Total Current assets</t>
  </si>
  <si>
    <t>Total Non-cerrent liabilites</t>
  </si>
  <si>
    <t>Total cerrent liabilites</t>
  </si>
  <si>
    <t xml:space="preserve"> Current liabilities</t>
  </si>
  <si>
    <t xml:space="preserve"> Non-current asset </t>
  </si>
  <si>
    <t xml:space="preserve">  Assets</t>
  </si>
  <si>
    <t>foreign currency gain or looses</t>
  </si>
  <si>
    <t>others</t>
  </si>
  <si>
    <t>cach and cach equivalents</t>
  </si>
  <si>
    <t>account and notes receivadles</t>
  </si>
  <si>
    <t>debtors and other depit balances</t>
  </si>
  <si>
    <t>add / (deduct)</t>
  </si>
  <si>
    <t>non controlling interest</t>
  </si>
  <si>
    <t>Total equity of the holding company</t>
  </si>
  <si>
    <t>Total comprehensive income</t>
  </si>
  <si>
    <t xml:space="preserve">Market Cap
</t>
  </si>
  <si>
    <t xml:space="preserve">Shares Outstanding
</t>
  </si>
  <si>
    <t>Price, Current</t>
  </si>
  <si>
    <t xml:space="preserve">Total Asset Turnover </t>
  </si>
  <si>
    <t>Total Current assets Turnover</t>
  </si>
  <si>
    <t>Total Non-current assets Turnover</t>
  </si>
  <si>
    <t>Debt ratios</t>
  </si>
  <si>
    <t>Total debt / Equity</t>
  </si>
  <si>
    <t>Equity/Total Non-current assets</t>
  </si>
  <si>
    <t xml:space="preserve">Accounts Receivable Turnover </t>
  </si>
  <si>
    <t xml:space="preserve">Inventory Turnover </t>
  </si>
  <si>
    <t>Liquidity ratios</t>
  </si>
  <si>
    <t>Profitability ratios</t>
  </si>
  <si>
    <t>Return on Assets (ROA)</t>
  </si>
  <si>
    <t xml:space="preserve">Return on Equity  (ROE)
</t>
  </si>
  <si>
    <t>Price/earnings (P/E) ratios</t>
  </si>
  <si>
    <t>Total Debt-to-Total Assets Ratio</t>
  </si>
  <si>
    <t>Interest Coverage Ratio</t>
  </si>
  <si>
    <t>Quick Ratio (Inventory)</t>
  </si>
  <si>
    <t>Quick Ratio (Accounts Receivable)</t>
  </si>
  <si>
    <t>Cash Ratio</t>
  </si>
  <si>
    <t>Earnings per share (EPS)</t>
  </si>
  <si>
    <t>Book Value Per Share (BVPS)</t>
  </si>
  <si>
    <t>Valuation ratios</t>
  </si>
  <si>
    <t>Activity Ratios</t>
  </si>
  <si>
    <t>Opening Stock</t>
  </si>
  <si>
    <t>Closing Stock</t>
  </si>
  <si>
    <t>Average stock</t>
  </si>
  <si>
    <t>Consolidated Balance Sheet as at</t>
  </si>
  <si>
    <t>H1</t>
  </si>
  <si>
    <t>Income Statement for the period ended</t>
  </si>
  <si>
    <t>THE Period   (day)</t>
  </si>
  <si>
    <t>JUNE</t>
  </si>
  <si>
    <t>SEPTEMBER</t>
  </si>
  <si>
    <t>DECEMBER</t>
  </si>
  <si>
    <t>Column1</t>
  </si>
  <si>
    <t>Q1</t>
  </si>
  <si>
    <t>Q2</t>
  </si>
  <si>
    <t>Q3</t>
  </si>
  <si>
    <t>Q4</t>
  </si>
  <si>
    <t>H2</t>
  </si>
  <si>
    <t>YEAR</t>
  </si>
  <si>
    <t>PERIOD</t>
  </si>
  <si>
    <t>(مجموعة عامر القابضة (عامر جروب</t>
  </si>
  <si>
    <t>A.T.LEASEالتوفيق للتأجير التمويلي -أية.تي.ليس</t>
  </si>
  <si>
    <t>Raya Contact Centerراية لخدمات مراكز الاتصالات</t>
  </si>
  <si>
    <t>Taaleem Management Services تعليم لخدمات الإدارة</t>
  </si>
  <si>
    <t>ابن سينا فارما</t>
  </si>
  <si>
    <t>ابوقير للاسمدة والصناعات الكيماوية</t>
  </si>
  <si>
    <t>ارابيا انفستمنتس هولدنج</t>
  </si>
  <si>
    <t>اسيك للتعدين - اسكوم</t>
  </si>
  <si>
    <t>إعمار مصر للتنمية</t>
  </si>
  <si>
    <t>الاسكندرية لتداول الحاويات والبضائع</t>
  </si>
  <si>
    <t>الاسكندرية للزيوت المعدنية</t>
  </si>
  <si>
    <t>الاسماعيلية مصر للدواجن</t>
  </si>
  <si>
    <t>البنك التجاري الدولي -مصر (سى اى بى )</t>
  </si>
  <si>
    <t>البنك المصري لتنمية الصادرات</t>
  </si>
  <si>
    <t>الجيزةالعامة للمقاولات والاستثمارالعقارى</t>
  </si>
  <si>
    <t>الحديد والصلب للمناجم والمحاجر</t>
  </si>
  <si>
    <t>الخدمات الملاحية والبترولية - ماريديف</t>
  </si>
  <si>
    <t>الدلتا للسكر</t>
  </si>
  <si>
    <t>الدوليه للمحاصيل الزراعيه</t>
  </si>
  <si>
    <t>السادس من اكتوبر للتنميه والاستثمار- سوديك</t>
  </si>
  <si>
    <t>الشرقية - ايسترن كومباني</t>
  </si>
  <si>
    <t>الشمس للاسكان والتعمير</t>
  </si>
  <si>
    <t>الصعيد العامة للمقاولات والاستثمار العقاري SCCD</t>
  </si>
  <si>
    <t>الصناعات الكيماوية المصرية - كيما</t>
  </si>
  <si>
    <t>الصناعات الهندسية المعمارية للانشاء والتعمير - ايكون</t>
  </si>
  <si>
    <t>العاشر من رمضان للصناعات الدوائية والمستحضرات تشخيصية-راميدا</t>
  </si>
  <si>
    <t>العامة لمنتجات الخزف والصيني</t>
  </si>
  <si>
    <t>العبوات الطبية</t>
  </si>
  <si>
    <t>العربية لحليج الأقطان</t>
  </si>
  <si>
    <t>العربية للاسمنت</t>
  </si>
  <si>
    <t>العربية للخزف - سيراميكا ريماس</t>
  </si>
  <si>
    <t>العربية لمنتجات الألبان" آراب ديرى - باندا"</t>
  </si>
  <si>
    <t>العز للسيراميك و البورسلين - الجوهره</t>
  </si>
  <si>
    <t>القابضة المصرية الكويتية</t>
  </si>
  <si>
    <t>القابضة المصرية الكويتية بالجنية</t>
  </si>
  <si>
    <t>القاهرة للدواجن</t>
  </si>
  <si>
    <t>القاهرة للزيوت والصابون</t>
  </si>
  <si>
    <t>القلعة للاستثمارات المالية</t>
  </si>
  <si>
    <t>القناة للتوكيلات الملاحية</t>
  </si>
  <si>
    <t>الكابلات الكهربائية المصرية</t>
  </si>
  <si>
    <t>المالية و الصناعية المصرية</t>
  </si>
  <si>
    <t>المشروعات الصناعية والهندسية</t>
  </si>
  <si>
    <t>المصرية الدولية للصناعات الدوائية - ايبيكو</t>
  </si>
  <si>
    <t>المصرية لخدمات النقل (ايجيترانس)</t>
  </si>
  <si>
    <t>المصرية للاتصالات</t>
  </si>
  <si>
    <t>المصرية للمنتجعات السياحية</t>
  </si>
  <si>
    <t>المصريه لمدينة الانتاج الاعلامى</t>
  </si>
  <si>
    <t>المصريين للاستثمار والتنمية العمرانية</t>
  </si>
  <si>
    <t>المصريين للاسكان والتنمية والتعمير</t>
  </si>
  <si>
    <t>المطورون العرب القابضة</t>
  </si>
  <si>
    <t>الملتقي العربي للاستثمارات</t>
  </si>
  <si>
    <t>النساجون الشرقيون للسجاد</t>
  </si>
  <si>
    <t>ام.ام جروب للصناعة والتجارة العالمية</t>
  </si>
  <si>
    <t>اوراسكوم المالية القابضة</t>
  </si>
  <si>
    <t>اوراسكوم كونستراكشون بي ال سي</t>
  </si>
  <si>
    <t>اوراسكوم للاستثمار القابضه</t>
  </si>
  <si>
    <t>اوراسكوم للتنمية مصر</t>
  </si>
  <si>
    <t>اي فاينانس للاستثمارات المالية والرقمية</t>
  </si>
  <si>
    <t>اية كابيتال القابضة</t>
  </si>
  <si>
    <t>ايديتا للصناعات الغذائية</t>
  </si>
  <si>
    <t>بالم هيلز للتعمير</t>
  </si>
  <si>
    <t>بايونيرز بروبرتيز للتنمية العمرانية</t>
  </si>
  <si>
    <t>بلتون القابضة</t>
  </si>
  <si>
    <t>بنك البركة مصر</t>
  </si>
  <si>
    <t>بنك التعمير والاسكان</t>
  </si>
  <si>
    <t>بنك فيصل الاسلامي المصري - بالدولار</t>
  </si>
  <si>
    <t>بنك فيصل الاسلامي المصرية بالجنية</t>
  </si>
  <si>
    <t>بنك كريدي اجريكول مصر</t>
  </si>
  <si>
    <t>بى انفستمنتس القابضه</t>
  </si>
  <si>
    <t>جدوى للتنمية الصناعية</t>
  </si>
  <si>
    <t>جنوب الوادى للاسمنت</t>
  </si>
  <si>
    <t>جهينة للصناعات الغذائية</t>
  </si>
  <si>
    <t>جى بى كوربوريشن</t>
  </si>
  <si>
    <t>حديد عز</t>
  </si>
  <si>
    <t>دايس للملابس الجاهزة</t>
  </si>
  <si>
    <t>ديجيتايز للاستثمار والتقنية</t>
  </si>
  <si>
    <t>راية القابضة للأستثمارات المالية</t>
  </si>
  <si>
    <t>زهراء المعادي للاستثمار والتعمير</t>
  </si>
  <si>
    <t>سى اى كابيتال القابضة للاستثمارات المالية</t>
  </si>
  <si>
    <t>سيدى كرير للبتروكيماويات - سيدبك</t>
  </si>
  <si>
    <t>شركة النصر للأعمال المدنية</t>
  </si>
  <si>
    <t>شركة مستشفي كليوباترا</t>
  </si>
  <si>
    <t>طاقة عربية</t>
  </si>
  <si>
    <t>عبور لاند للصناعات الغذائية</t>
  </si>
  <si>
    <t>غاز مصر</t>
  </si>
  <si>
    <t>فوري لتكنولوجيا البنوك والمدفوعات الالكترونية</t>
  </si>
  <si>
    <t>كفر الزيات للمبيدات والكيماويات</t>
  </si>
  <si>
    <t>ليسيكو مصر</t>
  </si>
  <si>
    <t>ماكرو جروب للمستحضرات الطبية-ماكرو كابيتال</t>
  </si>
  <si>
    <t>مجموعة اي اف جي القابضة</t>
  </si>
  <si>
    <t>مجموعة طلعت مصطفى القابضة</t>
  </si>
  <si>
    <t>مدينة مصر للاسكان والتعمير</t>
  </si>
  <si>
    <t>مصر الجديدة للاسكان والتعمير</t>
  </si>
  <si>
    <t>مصر الوطنية للصلب - عتاقة</t>
  </si>
  <si>
    <t>مصر لإنتاج الأسمدة - موبكو</t>
  </si>
  <si>
    <t>مصر لصناعة الكيماويات</t>
  </si>
  <si>
    <t>مصر للاسمنت - قنا</t>
  </si>
  <si>
    <t>مصر للالومنيوم</t>
  </si>
  <si>
    <t>مصرف أبو ظبي الأسلامي- مصر</t>
  </si>
  <si>
    <t>مينا للاستثمار السياحي والعقاري</t>
  </si>
  <si>
    <t>نهر الخير للتنمية والأستثمار الزراعى والخدمات البيئية</t>
  </si>
  <si>
    <t xml:space="preserve">ISPH </t>
  </si>
  <si>
    <t xml:space="preserve">ABUK </t>
  </si>
  <si>
    <t xml:space="preserve">AIH </t>
  </si>
  <si>
    <t xml:space="preserve">ASCM </t>
  </si>
  <si>
    <t xml:space="preserve">EMFD </t>
  </si>
  <si>
    <t xml:space="preserve">ALCN </t>
  </si>
  <si>
    <t xml:space="preserve">AMOC </t>
  </si>
  <si>
    <t xml:space="preserve">ISMA </t>
  </si>
  <si>
    <t xml:space="preserve">COMI </t>
  </si>
  <si>
    <t xml:space="preserve">EXPA </t>
  </si>
  <si>
    <t xml:space="preserve">GGCC </t>
  </si>
  <si>
    <t xml:space="preserve">ISMQ </t>
  </si>
  <si>
    <t xml:space="preserve">MOIL </t>
  </si>
  <si>
    <t xml:space="preserve">SUGR </t>
  </si>
  <si>
    <t xml:space="preserve">IFAP </t>
  </si>
  <si>
    <t xml:space="preserve">OCDI </t>
  </si>
  <si>
    <t xml:space="preserve">SWDY </t>
  </si>
  <si>
    <t xml:space="preserve">EAST </t>
  </si>
  <si>
    <t xml:space="preserve">ELSH </t>
  </si>
  <si>
    <t xml:space="preserve">UEGC </t>
  </si>
  <si>
    <t xml:space="preserve">EGCH </t>
  </si>
  <si>
    <t xml:space="preserve">ENGC </t>
  </si>
  <si>
    <t xml:space="preserve">RMDA </t>
  </si>
  <si>
    <t xml:space="preserve">PRCL </t>
  </si>
  <si>
    <t xml:space="preserve">MEPA </t>
  </si>
  <si>
    <t xml:space="preserve">ACGC </t>
  </si>
  <si>
    <t xml:space="preserve">ARCC </t>
  </si>
  <si>
    <t xml:space="preserve">CERA </t>
  </si>
  <si>
    <t xml:space="preserve">ADPC </t>
  </si>
  <si>
    <t xml:space="preserve">ECAP </t>
  </si>
  <si>
    <t xml:space="preserve">EKHO </t>
  </si>
  <si>
    <t xml:space="preserve">EKHOA </t>
  </si>
  <si>
    <t xml:space="preserve">POUL </t>
  </si>
  <si>
    <t xml:space="preserve">COSG </t>
  </si>
  <si>
    <t xml:space="preserve">CCAP </t>
  </si>
  <si>
    <t xml:space="preserve">CSAG </t>
  </si>
  <si>
    <t xml:space="preserve">ELEC </t>
  </si>
  <si>
    <t xml:space="preserve">EFIC </t>
  </si>
  <si>
    <t xml:space="preserve">IEEC </t>
  </si>
  <si>
    <t xml:space="preserve">PHAR </t>
  </si>
  <si>
    <t xml:space="preserve">ETRS </t>
  </si>
  <si>
    <t xml:space="preserve">ETEL </t>
  </si>
  <si>
    <t xml:space="preserve">EGTS </t>
  </si>
  <si>
    <t xml:space="preserve">MPRC </t>
  </si>
  <si>
    <t xml:space="preserve">EIUD </t>
  </si>
  <si>
    <t xml:space="preserve">EHDR </t>
  </si>
  <si>
    <t xml:space="preserve">ARAB </t>
  </si>
  <si>
    <t xml:space="preserve">AMIA </t>
  </si>
  <si>
    <t xml:space="preserve">ORWE </t>
  </si>
  <si>
    <t xml:space="preserve">MTIE </t>
  </si>
  <si>
    <t xml:space="preserve">OFH </t>
  </si>
  <si>
    <t xml:space="preserve">ORAS </t>
  </si>
  <si>
    <t xml:space="preserve">OIH </t>
  </si>
  <si>
    <t xml:space="preserve">ORHD </t>
  </si>
  <si>
    <t xml:space="preserve">EFIH </t>
  </si>
  <si>
    <t xml:space="preserve">ACAP </t>
  </si>
  <si>
    <t xml:space="preserve">EFID </t>
  </si>
  <si>
    <t xml:space="preserve">PHDC </t>
  </si>
  <si>
    <t xml:space="preserve">PRDC </t>
  </si>
  <si>
    <t xml:space="preserve">BTFH </t>
  </si>
  <si>
    <t xml:space="preserve">SAUD </t>
  </si>
  <si>
    <t xml:space="preserve">HDBK </t>
  </si>
  <si>
    <t xml:space="preserve">FAITA </t>
  </si>
  <si>
    <t xml:space="preserve">FAIT </t>
  </si>
  <si>
    <t xml:space="preserve">CIEB </t>
  </si>
  <si>
    <t xml:space="preserve">BINV </t>
  </si>
  <si>
    <t xml:space="preserve">GDWA </t>
  </si>
  <si>
    <t xml:space="preserve">SVCE </t>
  </si>
  <si>
    <t xml:space="preserve">JUFO </t>
  </si>
  <si>
    <t xml:space="preserve">GBCO </t>
  </si>
  <si>
    <t xml:space="preserve">ESRS </t>
  </si>
  <si>
    <t xml:space="preserve">DSCW </t>
  </si>
  <si>
    <t xml:space="preserve">DGTZ </t>
  </si>
  <si>
    <t xml:space="preserve">RAYA </t>
  </si>
  <si>
    <t xml:space="preserve">ZMID </t>
  </si>
  <si>
    <t xml:space="preserve">CICH </t>
  </si>
  <si>
    <t xml:space="preserve">SKPC </t>
  </si>
  <si>
    <t xml:space="preserve">NCCW </t>
  </si>
  <si>
    <t xml:space="preserve">CLHO </t>
  </si>
  <si>
    <t xml:space="preserve">TAQA </t>
  </si>
  <si>
    <t xml:space="preserve">OLFI </t>
  </si>
  <si>
    <t xml:space="preserve">EGAS </t>
  </si>
  <si>
    <t xml:space="preserve">FWRY </t>
  </si>
  <si>
    <t xml:space="preserve">KZPC </t>
  </si>
  <si>
    <t xml:space="preserve">LCSW </t>
  </si>
  <si>
    <t xml:space="preserve">MCRO </t>
  </si>
  <si>
    <t xml:space="preserve">HRHO </t>
  </si>
  <si>
    <t xml:space="preserve">TMGH </t>
  </si>
  <si>
    <t xml:space="preserve">MASR </t>
  </si>
  <si>
    <t xml:space="preserve">HELI </t>
  </si>
  <si>
    <t xml:space="preserve">ATQA </t>
  </si>
  <si>
    <t xml:space="preserve">MFPC </t>
  </si>
  <si>
    <t xml:space="preserve">MICH </t>
  </si>
  <si>
    <t xml:space="preserve">MCQE </t>
  </si>
  <si>
    <t xml:space="preserve">EGAL </t>
  </si>
  <si>
    <t xml:space="preserve">ADIB </t>
  </si>
  <si>
    <t xml:space="preserve">MENA </t>
  </si>
  <si>
    <t xml:space="preserve">KRDI </t>
  </si>
  <si>
    <t xml:space="preserve">AMER </t>
  </si>
  <si>
    <t xml:space="preserve">ATLC </t>
  </si>
  <si>
    <t xml:space="preserve">RACC </t>
  </si>
  <si>
    <t xml:space="preserve">TALM </t>
  </si>
  <si>
    <t>date /period</t>
  </si>
  <si>
    <t>Current Ratio</t>
  </si>
  <si>
    <t>اسم الشركه (EGX100)</t>
  </si>
  <si>
    <t>Price-to-Book Value(P/B) Ratio</t>
  </si>
  <si>
    <t>others Revenues</t>
  </si>
  <si>
    <t>Other Data</t>
  </si>
  <si>
    <t>Standalone Balance Sheet as at</t>
  </si>
  <si>
    <t>Q</t>
  </si>
  <si>
    <t>H</t>
  </si>
  <si>
    <t>Y</t>
  </si>
  <si>
    <t>DAY</t>
  </si>
  <si>
    <t xml:space="preserve">MARCH </t>
  </si>
  <si>
    <t>MONTH</t>
  </si>
  <si>
    <t xml:space="preserve">Net working capital </t>
  </si>
  <si>
    <t>Net working capital  ratio</t>
  </si>
  <si>
    <t xml:space="preserve">Total current liabilities/ Equity </t>
  </si>
  <si>
    <t>Operating Cycle (oc)</t>
  </si>
  <si>
    <t>Days Payable Outstanding (DPO)</t>
  </si>
  <si>
    <t xml:space="preserve"> Payable Turnover </t>
  </si>
  <si>
    <t>Cash Conversion Cycle (ccc)</t>
  </si>
  <si>
    <t>Days Inventory Outstanding (DIO)</t>
  </si>
  <si>
    <t>Days Sales Outstanding (DSO)</t>
  </si>
  <si>
    <t>Cost of Goods Sold</t>
  </si>
  <si>
    <t xml:space="preserve"> Total Revenue</t>
  </si>
  <si>
    <t>Gross Margin Ratio</t>
  </si>
  <si>
    <t>Return on Sales (ROS)</t>
  </si>
  <si>
    <t>Other Revenues</t>
  </si>
  <si>
    <t>Other expense</t>
  </si>
  <si>
    <t>net income (looses)</t>
  </si>
  <si>
    <r>
      <t xml:space="preserve"> </t>
    </r>
    <r>
      <rPr>
        <b/>
        <sz val="14"/>
        <color theme="1"/>
        <rFont val="Arial"/>
        <family val="2"/>
        <scheme val="minor"/>
      </rPr>
      <t>Profit Before Taxes (looses)</t>
    </r>
  </si>
  <si>
    <t>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</si>
</sst>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[$EGP]\ * #,##0.00_);_([$EGP]\ * \(#,##0.00\);_([$EGP]\ * &quot;-&quot;??_);_(@_)"/>
    <numFmt numFmtId="168" formatCode="_([$EGP]\ * #,##0_);_([$EGP]\ * \(#,##0\);_([$EGP]\ * &quot;-&quot;??_);_(@_)"/>
    <numFmt numFmtId="169" formatCode="[$-409]mmmm\-yy;@"/>
    <numFmt numFmtId="170" formatCode="[$-409]d\-mmm\-yy;@"/>
    <numFmt numFmtId="171" formatCode="[$-409]dd\-mmm\-yy;@"/>
    <numFmt numFmtId="172" formatCode="yyyy\-mm\-dd;@"/>
    <numFmt numFmtId="173" formatCode="[$-409]d\-mmm\-yyyy;@"/>
    <numFmt numFmtId="174" formatCode="[$EGP]\ #,##0.00_);[Red]\([$EGP]\ #,##0.00\)"/>
    <numFmt numFmtId="175" formatCode="[$EGP]\ #,##0_);[Red]\([$EGP]\ #,##0\)"/>
  </numFmts>
  <fonts count="2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indexed="81"/>
      <name val="Tahoma"/>
      <family val="2"/>
    </font>
  </fonts>
  <fills count="5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8" applyNumberFormat="0" applyAlignment="0" applyProtection="0"/>
    <xf numFmtId="0" fontId="15" fillId="22" borderId="9" applyNumberFormat="0" applyAlignment="0" applyProtection="0"/>
    <xf numFmtId="0" fontId="16" fillId="22" borderId="8" applyNumberFormat="0" applyAlignment="0" applyProtection="0"/>
    <xf numFmtId="0" fontId="17" fillId="0" borderId="10" applyNumberFormat="0" applyFill="0" applyAlignment="0" applyProtection="0"/>
    <xf numFmtId="0" fontId="18" fillId="23" borderId="11" applyNumberFormat="0" applyAlignment="0" applyProtection="0"/>
    <xf numFmtId="0" fontId="19" fillId="0" borderId="0" applyNumberFormat="0" applyFill="0" applyBorder="0" applyAlignment="0" applyProtection="0"/>
    <xf numFmtId="0" fontId="1" fillId="24" borderId="12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2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2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</cellStyleXfs>
  <cellXfs count="19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0" fillId="0" borderId="0" xfId="0" applyAlignment="1">
      <alignment horizontal="right"/>
    </xf>
    <xf numFmtId="171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4" fillId="49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50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2" fontId="3" fillId="6" borderId="1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168" fontId="3" fillId="7" borderId="2" xfId="2" applyNumberFormat="1" applyFont="1" applyFill="1" applyBorder="1" applyAlignment="1">
      <alignment horizontal="center"/>
    </xf>
    <xf numFmtId="168" fontId="3" fillId="7" borderId="3" xfId="2" applyNumberFormat="1" applyFont="1" applyFill="1" applyBorder="1" applyAlignment="1">
      <alignment horizontal="center"/>
    </xf>
    <xf numFmtId="168" fontId="3" fillId="7" borderId="4" xfId="2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9" fontId="3" fillId="9" borderId="1" xfId="3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8" fontId="3" fillId="7" borderId="1" xfId="2" applyNumberFormat="1" applyFont="1" applyFill="1" applyBorder="1" applyAlignment="1">
      <alignment horizontal="center"/>
    </xf>
    <xf numFmtId="2" fontId="3" fillId="9" borderId="1" xfId="0" applyNumberFormat="1" applyFont="1" applyFill="1" applyBorder="1" applyAlignment="1">
      <alignment horizontal="center"/>
    </xf>
    <xf numFmtId="2" fontId="3" fillId="9" borderId="1" xfId="3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left"/>
    </xf>
    <xf numFmtId="2" fontId="3" fillId="13" borderId="1" xfId="0" applyNumberFormat="1" applyFont="1" applyFill="1" applyBorder="1" applyAlignment="1">
      <alignment horizontal="center"/>
    </xf>
    <xf numFmtId="0" fontId="3" fillId="14" borderId="2" xfId="0" applyFont="1" applyFill="1" applyBorder="1" applyAlignment="1">
      <alignment horizontal="left"/>
    </xf>
    <xf numFmtId="0" fontId="3" fillId="14" borderId="3" xfId="0" applyFont="1" applyFill="1" applyBorder="1" applyAlignment="1">
      <alignment horizontal="left"/>
    </xf>
    <xf numFmtId="0" fontId="3" fillId="14" borderId="4" xfId="0" applyFont="1" applyFill="1" applyBorder="1" applyAlignment="1">
      <alignment horizontal="left"/>
    </xf>
    <xf numFmtId="2" fontId="3" fillId="12" borderId="1" xfId="0" applyNumberFormat="1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/>
    </xf>
    <xf numFmtId="0" fontId="4" fillId="11" borderId="4" xfId="0" applyFont="1" applyFill="1" applyBorder="1" applyAlignment="1">
      <alignment horizontal="left"/>
    </xf>
    <xf numFmtId="168" fontId="3" fillId="11" borderId="2" xfId="2" applyNumberFormat="1" applyFont="1" applyFill="1" applyBorder="1" applyAlignment="1">
      <alignment horizontal="center"/>
    </xf>
    <xf numFmtId="168" fontId="3" fillId="11" borderId="3" xfId="2" applyNumberFormat="1" applyFont="1" applyFill="1" applyBorder="1" applyAlignment="1">
      <alignment horizontal="center"/>
    </xf>
    <xf numFmtId="168" fontId="3" fillId="11" borderId="4" xfId="2" applyNumberFormat="1" applyFont="1" applyFill="1" applyBorder="1" applyAlignment="1">
      <alignment horizontal="center"/>
    </xf>
    <xf numFmtId="2" fontId="3" fillId="14" borderId="1" xfId="0" applyNumberFormat="1" applyFont="1" applyFill="1" applyBorder="1" applyAlignment="1">
      <alignment horizontal="center"/>
    </xf>
    <xf numFmtId="0" fontId="4" fillId="15" borderId="2" xfId="0" applyFont="1" applyFill="1" applyBorder="1"/>
    <xf numFmtId="0" fontId="4" fillId="15" borderId="3" xfId="0" applyFont="1" applyFill="1" applyBorder="1"/>
    <xf numFmtId="0" fontId="4" fillId="15" borderId="4" xfId="0" applyFont="1" applyFill="1" applyBorder="1"/>
    <xf numFmtId="168" fontId="3" fillId="15" borderId="2" xfId="0" applyNumberFormat="1" applyFont="1" applyFill="1" applyBorder="1" applyAlignment="1">
      <alignment horizontal="center"/>
    </xf>
    <xf numFmtId="168" fontId="3" fillId="15" borderId="3" xfId="0" applyNumberFormat="1" applyFont="1" applyFill="1" applyBorder="1" applyAlignment="1">
      <alignment horizontal="center"/>
    </xf>
    <xf numFmtId="168" fontId="3" fillId="15" borderId="4" xfId="0" applyNumberFormat="1" applyFont="1" applyFill="1" applyBorder="1" applyAlignment="1">
      <alignment horizontal="center"/>
    </xf>
    <xf numFmtId="0" fontId="3" fillId="12" borderId="2" xfId="0" applyFont="1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left"/>
    </xf>
    <xf numFmtId="0" fontId="4" fillId="15" borderId="3" xfId="0" applyFont="1" applyFill="1" applyBorder="1" applyAlignment="1">
      <alignment horizontal="left"/>
    </xf>
    <xf numFmtId="0" fontId="4" fillId="15" borderId="4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13" borderId="1" xfId="0" applyFont="1" applyFill="1" applyBorder="1"/>
    <xf numFmtId="167" fontId="3" fillId="13" borderId="2" xfId="0" applyNumberFormat="1" applyFont="1" applyFill="1" applyBorder="1" applyAlignment="1">
      <alignment horizontal="center"/>
    </xf>
    <xf numFmtId="167" fontId="3" fillId="13" borderId="3" xfId="0" applyNumberFormat="1" applyFont="1" applyFill="1" applyBorder="1" applyAlignment="1">
      <alignment horizontal="center"/>
    </xf>
    <xf numFmtId="167" fontId="3" fillId="13" borderId="4" xfId="0" applyNumberFormat="1" applyFont="1" applyFill="1" applyBorder="1" applyAlignment="1">
      <alignment horizontal="center"/>
    </xf>
    <xf numFmtId="0" fontId="3" fillId="14" borderId="2" xfId="0" applyFont="1" applyFill="1" applyBorder="1"/>
    <xf numFmtId="0" fontId="3" fillId="14" borderId="3" xfId="0" applyFont="1" applyFill="1" applyBorder="1"/>
    <xf numFmtId="0" fontId="3" fillId="14" borderId="4" xfId="0" applyFont="1" applyFill="1" applyBorder="1"/>
    <xf numFmtId="2" fontId="3" fillId="14" borderId="2" xfId="0" applyNumberFormat="1" applyFont="1" applyFill="1" applyBorder="1" applyAlignment="1">
      <alignment horizontal="center"/>
    </xf>
    <xf numFmtId="2" fontId="3" fillId="14" borderId="4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14" borderId="1" xfId="0" applyFont="1" applyFill="1" applyBorder="1"/>
    <xf numFmtId="174" fontId="3" fillId="14" borderId="2" xfId="0" applyNumberFormat="1" applyFont="1" applyFill="1" applyBorder="1" applyAlignment="1">
      <alignment horizontal="center"/>
    </xf>
    <xf numFmtId="174" fontId="3" fillId="14" borderId="3" xfId="0" applyNumberFormat="1" applyFont="1" applyFill="1" applyBorder="1" applyAlignment="1">
      <alignment horizontal="center"/>
    </xf>
    <xf numFmtId="174" fontId="3" fillId="14" borderId="4" xfId="0" applyNumberFormat="1" applyFont="1" applyFill="1" applyBorder="1" applyAlignment="1">
      <alignment horizontal="center"/>
    </xf>
    <xf numFmtId="2" fontId="3" fillId="6" borderId="2" xfId="0" applyNumberFormat="1" applyFont="1" applyFill="1" applyBorder="1" applyAlignment="1">
      <alignment horizontal="center"/>
    </xf>
    <xf numFmtId="2" fontId="3" fillId="6" borderId="4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left"/>
    </xf>
    <xf numFmtId="174" fontId="4" fillId="13" borderId="2" xfId="0" applyNumberFormat="1" applyFont="1" applyFill="1" applyBorder="1" applyAlignment="1">
      <alignment horizontal="center"/>
    </xf>
    <xf numFmtId="174" fontId="4" fillId="13" borderId="3" xfId="0" applyNumberFormat="1" applyFont="1" applyFill="1" applyBorder="1" applyAlignment="1">
      <alignment horizontal="center"/>
    </xf>
    <xf numFmtId="174" fontId="4" fillId="13" borderId="4" xfId="0" applyNumberFormat="1" applyFont="1" applyFill="1" applyBorder="1" applyAlignment="1">
      <alignment horizontal="center"/>
    </xf>
    <xf numFmtId="0" fontId="4" fillId="12" borderId="1" xfId="0" applyFont="1" applyFill="1" applyBorder="1"/>
    <xf numFmtId="167" fontId="4" fillId="12" borderId="2" xfId="0" applyNumberFormat="1" applyFont="1" applyFill="1" applyBorder="1" applyAlignment="1">
      <alignment horizontal="center"/>
    </xf>
    <xf numFmtId="167" fontId="4" fillId="12" borderId="3" xfId="0" applyNumberFormat="1" applyFont="1" applyFill="1" applyBorder="1" applyAlignment="1">
      <alignment horizontal="center"/>
    </xf>
    <xf numFmtId="167" fontId="4" fillId="12" borderId="4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0" fontId="3" fillId="11" borderId="4" xfId="0" applyFont="1" applyFill="1" applyBorder="1" applyAlignment="1">
      <alignment horizontal="left"/>
    </xf>
    <xf numFmtId="2" fontId="3" fillId="11" borderId="2" xfId="0" applyNumberFormat="1" applyFont="1" applyFill="1" applyBorder="1" applyAlignment="1">
      <alignment horizontal="center"/>
    </xf>
    <xf numFmtId="2" fontId="3" fillId="11" borderId="4" xfId="0" applyNumberFormat="1" applyFont="1" applyFill="1" applyBorder="1" applyAlignment="1">
      <alignment horizontal="center"/>
    </xf>
    <xf numFmtId="0" fontId="3" fillId="12" borderId="1" xfId="0" applyFont="1" applyFill="1" applyBorder="1"/>
    <xf numFmtId="167" fontId="3" fillId="12" borderId="2" xfId="0" applyNumberFormat="1" applyFont="1" applyFill="1" applyBorder="1" applyAlignment="1">
      <alignment horizontal="center"/>
    </xf>
    <xf numFmtId="167" fontId="3" fillId="12" borderId="3" xfId="0" applyNumberFormat="1" applyFont="1" applyFill="1" applyBorder="1" applyAlignment="1">
      <alignment horizontal="center"/>
    </xf>
    <xf numFmtId="167" fontId="3" fillId="12" borderId="4" xfId="0" applyNumberFormat="1" applyFont="1" applyFill="1" applyBorder="1" applyAlignment="1">
      <alignment horizontal="center"/>
    </xf>
    <xf numFmtId="167" fontId="4" fillId="14" borderId="2" xfId="0" applyNumberFormat="1" applyFont="1" applyFill="1" applyBorder="1" applyAlignment="1">
      <alignment horizontal="center"/>
    </xf>
    <xf numFmtId="167" fontId="4" fillId="14" borderId="3" xfId="0" applyNumberFormat="1" applyFont="1" applyFill="1" applyBorder="1" applyAlignment="1">
      <alignment horizontal="center"/>
    </xf>
    <xf numFmtId="167" fontId="4" fillId="14" borderId="4" xfId="0" applyNumberFormat="1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167" fontId="3" fillId="14" borderId="2" xfId="0" applyNumberFormat="1" applyFont="1" applyFill="1" applyBorder="1" applyAlignment="1">
      <alignment horizontal="center"/>
    </xf>
    <xf numFmtId="167" fontId="3" fillId="14" borderId="3" xfId="0" applyNumberFormat="1" applyFont="1" applyFill="1" applyBorder="1" applyAlignment="1">
      <alignment horizontal="center"/>
    </xf>
    <xf numFmtId="167" fontId="3" fillId="14" borderId="4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left"/>
    </xf>
    <xf numFmtId="0" fontId="3" fillId="11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52" borderId="2" xfId="0" applyFont="1" applyFill="1" applyBorder="1" applyAlignment="1">
      <alignment horizontal="center"/>
    </xf>
    <xf numFmtId="0" fontId="4" fillId="52" borderId="3" xfId="0" applyFont="1" applyFill="1" applyBorder="1" applyAlignment="1">
      <alignment horizontal="center"/>
    </xf>
    <xf numFmtId="0" fontId="4" fillId="52" borderId="4" xfId="0" applyFont="1" applyFill="1" applyBorder="1" applyAlignment="1">
      <alignment horizontal="center"/>
    </xf>
    <xf numFmtId="0" fontId="4" fillId="14" borderId="1" xfId="0" applyFont="1" applyFill="1" applyBorder="1"/>
    <xf numFmtId="164" fontId="6" fillId="16" borderId="1" xfId="0" applyNumberFormat="1" applyFont="1" applyFill="1" applyBorder="1" applyAlignment="1">
      <alignment horizontal="center"/>
    </xf>
    <xf numFmtId="166" fontId="3" fillId="11" borderId="1" xfId="1" applyNumberFormat="1" applyFont="1" applyFill="1" applyBorder="1" applyAlignment="1"/>
    <xf numFmtId="167" fontId="3" fillId="11" borderId="1" xfId="0" applyNumberFormat="1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center"/>
    </xf>
    <xf numFmtId="164" fontId="4" fillId="16" borderId="1" xfId="0" applyNumberFormat="1" applyFont="1" applyFill="1" applyBorder="1" applyAlignment="1">
      <alignment horizontal="center"/>
    </xf>
    <xf numFmtId="166" fontId="3" fillId="11" borderId="1" xfId="1" applyNumberFormat="1" applyFont="1" applyFill="1" applyBorder="1" applyAlignment="1">
      <alignment horizontal="center"/>
    </xf>
    <xf numFmtId="167" fontId="3" fillId="15" borderId="2" xfId="0" applyNumberFormat="1" applyFont="1" applyFill="1" applyBorder="1" applyAlignment="1">
      <alignment horizontal="center"/>
    </xf>
    <xf numFmtId="167" fontId="3" fillId="15" borderId="3" xfId="0" applyNumberFormat="1" applyFont="1" applyFill="1" applyBorder="1" applyAlignment="1">
      <alignment horizontal="center"/>
    </xf>
    <xf numFmtId="167" fontId="3" fillId="15" borderId="4" xfId="0" applyNumberFormat="1" applyFont="1" applyFill="1" applyBorder="1" applyAlignment="1">
      <alignment horizontal="center"/>
    </xf>
    <xf numFmtId="167" fontId="3" fillId="11" borderId="2" xfId="2" applyNumberFormat="1" applyFont="1" applyFill="1" applyBorder="1" applyAlignment="1">
      <alignment horizontal="center"/>
    </xf>
    <xf numFmtId="167" fontId="3" fillId="11" borderId="3" xfId="2" applyNumberFormat="1" applyFont="1" applyFill="1" applyBorder="1" applyAlignment="1">
      <alignment horizontal="center"/>
    </xf>
    <xf numFmtId="167" fontId="3" fillId="11" borderId="4" xfId="2" applyNumberFormat="1" applyFont="1" applyFill="1" applyBorder="1" applyAlignment="1">
      <alignment horizontal="center"/>
    </xf>
    <xf numFmtId="167" fontId="3" fillId="7" borderId="2" xfId="2" applyNumberFormat="1" applyFont="1" applyFill="1" applyBorder="1" applyAlignment="1">
      <alignment horizontal="center"/>
    </xf>
    <xf numFmtId="167" fontId="3" fillId="7" borderId="3" xfId="2" applyNumberFormat="1" applyFont="1" applyFill="1" applyBorder="1" applyAlignment="1">
      <alignment horizontal="center"/>
    </xf>
    <xf numFmtId="167" fontId="3" fillId="7" borderId="4" xfId="2" applyNumberFormat="1" applyFont="1" applyFill="1" applyBorder="1" applyAlignment="1">
      <alignment horizontal="center"/>
    </xf>
    <xf numFmtId="2" fontId="3" fillId="12" borderId="2" xfId="0" applyNumberFormat="1" applyFont="1" applyFill="1" applyBorder="1" applyAlignment="1">
      <alignment horizontal="center"/>
    </xf>
    <xf numFmtId="2" fontId="3" fillId="12" borderId="4" xfId="0" applyNumberFormat="1" applyFont="1" applyFill="1" applyBorder="1" applyAlignment="1">
      <alignment horizontal="center"/>
    </xf>
    <xf numFmtId="2" fontId="3" fillId="13" borderId="2" xfId="0" applyNumberFormat="1" applyFont="1" applyFill="1" applyBorder="1" applyAlignment="1">
      <alignment horizontal="center"/>
    </xf>
    <xf numFmtId="2" fontId="3" fillId="13" borderId="4" xfId="0" applyNumberFormat="1" applyFont="1" applyFill="1" applyBorder="1" applyAlignment="1">
      <alignment horizontal="center"/>
    </xf>
    <xf numFmtId="2" fontId="3" fillId="9" borderId="2" xfId="3" applyNumberFormat="1" applyFont="1" applyFill="1" applyBorder="1" applyAlignment="1">
      <alignment horizontal="center"/>
    </xf>
    <xf numFmtId="2" fontId="3" fillId="9" borderId="4" xfId="3" applyNumberFormat="1" applyFont="1" applyFill="1" applyBorder="1" applyAlignment="1">
      <alignment horizontal="center"/>
    </xf>
    <xf numFmtId="2" fontId="3" fillId="9" borderId="2" xfId="0" applyNumberFormat="1" applyFont="1" applyFill="1" applyBorder="1" applyAlignment="1">
      <alignment horizontal="center"/>
    </xf>
    <xf numFmtId="2" fontId="3" fillId="9" borderId="4" xfId="0" applyNumberFormat="1" applyFont="1" applyFill="1" applyBorder="1" applyAlignment="1">
      <alignment horizontal="center"/>
    </xf>
    <xf numFmtId="168" fontId="3" fillId="6" borderId="2" xfId="2" applyNumberFormat="1" applyFont="1" applyFill="1" applyBorder="1" applyAlignment="1">
      <alignment horizontal="center"/>
    </xf>
    <xf numFmtId="168" fontId="3" fillId="6" borderId="4" xfId="2" applyNumberFormat="1" applyFont="1" applyFill="1" applyBorder="1" applyAlignment="1">
      <alignment horizontal="center"/>
    </xf>
    <xf numFmtId="9" fontId="3" fillId="9" borderId="2" xfId="3" applyFont="1" applyFill="1" applyBorder="1" applyAlignment="1">
      <alignment horizontal="center"/>
    </xf>
    <xf numFmtId="9" fontId="3" fillId="9" borderId="4" xfId="3" applyFont="1" applyFill="1" applyBorder="1" applyAlignment="1">
      <alignment horizontal="center"/>
    </xf>
    <xf numFmtId="175" fontId="3" fillId="7" borderId="1" xfId="2" applyNumberFormat="1" applyFont="1" applyFill="1" applyBorder="1" applyAlignment="1">
      <alignment horizontal="center"/>
    </xf>
    <xf numFmtId="164" fontId="3" fillId="16" borderId="1" xfId="0" applyNumberFormat="1" applyFont="1" applyFill="1" applyBorder="1" applyAlignment="1">
      <alignment horizontal="center"/>
    </xf>
    <xf numFmtId="164" fontId="3" fillId="10" borderId="2" xfId="0" applyNumberFormat="1" applyFont="1" applyFill="1" applyBorder="1" applyAlignment="1">
      <alignment horizontal="left"/>
    </xf>
    <xf numFmtId="164" fontId="3" fillId="10" borderId="3" xfId="0" applyNumberFormat="1" applyFont="1" applyFill="1" applyBorder="1" applyAlignment="1">
      <alignment horizontal="left"/>
    </xf>
    <xf numFmtId="164" fontId="3" fillId="10" borderId="4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51" borderId="2" xfId="0" applyFont="1" applyFill="1" applyBorder="1" applyAlignment="1">
      <alignment horizontal="center"/>
    </xf>
    <xf numFmtId="0" fontId="4" fillId="51" borderId="3" xfId="0" applyFont="1" applyFill="1" applyBorder="1" applyAlignment="1">
      <alignment horizontal="center"/>
    </xf>
    <xf numFmtId="0" fontId="4" fillId="51" borderId="4" xfId="0" applyFont="1" applyFill="1" applyBorder="1" applyAlignment="1">
      <alignment horizontal="center"/>
    </xf>
    <xf numFmtId="3" fontId="3" fillId="11" borderId="2" xfId="1" applyNumberFormat="1" applyFont="1" applyFill="1" applyBorder="1" applyAlignment="1">
      <alignment horizontal="center"/>
    </xf>
    <xf numFmtId="3" fontId="3" fillId="11" borderId="4" xfId="1" applyNumberFormat="1" applyFont="1" applyFill="1" applyBorder="1" applyAlignment="1">
      <alignment horizontal="center"/>
    </xf>
    <xf numFmtId="3" fontId="3" fillId="11" borderId="2" xfId="0" applyNumberFormat="1" applyFont="1" applyFill="1" applyBorder="1" applyAlignment="1">
      <alignment horizontal="center"/>
    </xf>
    <xf numFmtId="3" fontId="3" fillId="11" borderId="4" xfId="0" applyNumberFormat="1" applyFont="1" applyFill="1" applyBorder="1" applyAlignment="1">
      <alignment horizontal="center"/>
    </xf>
    <xf numFmtId="2" fontId="3" fillId="9" borderId="2" xfId="1" applyNumberFormat="1" applyFont="1" applyFill="1" applyBorder="1" applyAlignment="1">
      <alignment horizontal="center"/>
    </xf>
    <xf numFmtId="2" fontId="3" fillId="9" borderId="4" xfId="1" applyNumberFormat="1" applyFont="1" applyFill="1" applyBorder="1" applyAlignment="1">
      <alignment horizontal="center"/>
    </xf>
    <xf numFmtId="175" fontId="3" fillId="6" borderId="2" xfId="1" applyNumberFormat="1" applyFont="1" applyFill="1" applyBorder="1" applyAlignment="1">
      <alignment horizontal="center"/>
    </xf>
    <xf numFmtId="175" fontId="3" fillId="6" borderId="4" xfId="1" applyNumberFormat="1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/>
    </xf>
  </cellXfs>
  <cellStyles count="45">
    <cellStyle name="20% - تمييز1" xfId="22" builtinId="30" customBuiltin="1"/>
    <cellStyle name="20% - تمييز2" xfId="26" builtinId="34" customBuiltin="1"/>
    <cellStyle name="20% - تمييز3" xfId="30" builtinId="38" customBuiltin="1"/>
    <cellStyle name="20% - تمييز4" xfId="34" builtinId="42" customBuiltin="1"/>
    <cellStyle name="20% - تمييز5" xfId="38" builtinId="46" customBuiltin="1"/>
    <cellStyle name="20% - تمييز6" xfId="42" builtinId="50" customBuiltin="1"/>
    <cellStyle name="40% - تمييز1" xfId="23" builtinId="31" customBuiltin="1"/>
    <cellStyle name="40% - تمييز2" xfId="27" builtinId="35" customBuiltin="1"/>
    <cellStyle name="40% - تمييز3" xfId="31" builtinId="39" customBuiltin="1"/>
    <cellStyle name="40% - تمييز4" xfId="35" builtinId="43" customBuiltin="1"/>
    <cellStyle name="40% - تمييز5" xfId="39" builtinId="47" customBuiltin="1"/>
    <cellStyle name="40% - تمييز6" xfId="43" builtinId="51" customBuiltin="1"/>
    <cellStyle name="60% - تمييز1" xfId="24" builtinId="32" customBuiltin="1"/>
    <cellStyle name="60% - تمييز2" xfId="28" builtinId="36" customBuiltin="1"/>
    <cellStyle name="60% - تمييز3" xfId="32" builtinId="40" customBuiltin="1"/>
    <cellStyle name="60% - تمييز4" xfId="36" builtinId="44" customBuiltin="1"/>
    <cellStyle name="60% - تمييز5" xfId="40" builtinId="48" customBuiltin="1"/>
    <cellStyle name="60% - تمييز6" xfId="44" builtinId="52" customBuiltin="1"/>
    <cellStyle name="Comma" xfId="1" builtinId="3"/>
    <cellStyle name="Currency" xfId="2" builtinId="4"/>
    <cellStyle name="Percent" xfId="3" builtinId="5"/>
    <cellStyle name="إخراج" xfId="13" builtinId="21" customBuiltin="1"/>
    <cellStyle name="إدخال" xfId="12" builtinId="20" customBuiltin="1"/>
    <cellStyle name="الإجمالي" xfId="20" builtinId="25" customBuiltin="1"/>
    <cellStyle name="تمييز1" xfId="21" builtinId="29" customBuiltin="1"/>
    <cellStyle name="تمييز2" xfId="25" builtinId="33" customBuiltin="1"/>
    <cellStyle name="تمييز3" xfId="29" builtinId="37" customBuiltin="1"/>
    <cellStyle name="تمييز4" xfId="33" builtinId="41" customBuiltin="1"/>
    <cellStyle name="تمييز5" xfId="37" builtinId="45" customBuiltin="1"/>
    <cellStyle name="تمييز6" xfId="41" builtinId="49" customBuiltin="1"/>
    <cellStyle name="جيد" xfId="9" builtinId="26" customBuiltin="1"/>
    <cellStyle name="حساب" xfId="14" builtinId="22" customBuiltin="1"/>
    <cellStyle name="خلية تدقيق" xfId="16" builtinId="23" customBuiltin="1"/>
    <cellStyle name="خلية مرتبطة" xfId="15" builtinId="24" customBuiltin="1"/>
    <cellStyle name="سيئ" xfId="10" builtinId="27" customBuiltin="1"/>
    <cellStyle name="عادي" xfId="0" builtinId="0"/>
    <cellStyle name="عنوان" xfId="4" builtinId="15" customBuiltin="1"/>
    <cellStyle name="عنوان 1" xfId="5" builtinId="16" customBuiltin="1"/>
    <cellStyle name="عنوان 2" xfId="6" builtinId="17" customBuiltin="1"/>
    <cellStyle name="عنوان 3" xfId="7" builtinId="18" customBuiltin="1"/>
    <cellStyle name="عنوان 4" xfId="8" builtinId="19" customBuiltin="1"/>
    <cellStyle name="محايد" xfId="11" builtinId="28" customBuiltin="1"/>
    <cellStyle name="ملاحظة" xfId="18" builtinId="10" customBuiltin="1"/>
    <cellStyle name="نص تحذير" xfId="17" builtinId="11" customBuiltin="1"/>
    <cellStyle name="نص توضيحي" xfId="19" builtinId="53" customBuiltin="1"/>
  </cellStyles>
  <dxfs count="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73" formatCode="[$-409]d\-mmm\-yyyy;@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</dxf>
    <dxf>
      <numFmt numFmtId="173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5A2F38-05E4-4FEB-9A29-8E0B349DFDA2}" name="Table5" displayName="Table5" ref="B2:C10" totalsRowShown="0">
  <autoFilter ref="B2:C10" xr:uid="{B55A2F38-05E4-4FEB-9A29-8E0B349DFDA2}"/>
  <tableColumns count="2">
    <tableColumn id="1" xr3:uid="{9207E5D3-DFAA-4DF2-85F7-D8A7D88AF73F}" name="MONTH" dataDxfId="6"/>
    <tableColumn id="2" xr3:uid="{4D11601E-3241-4B29-8928-F9AA35CB7D60}" name="PERI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F047CE-F2D7-4F27-9776-C5A46ED6BE01}" name="Table8" displayName="Table8" ref="G2:H104" totalsRowShown="0" headerRowDxfId="5">
  <autoFilter ref="G2:H104" xr:uid="{15F047CE-F2D7-4F27-9776-C5A46ED6BE01}"/>
  <tableColumns count="2">
    <tableColumn id="1" xr3:uid="{C942159D-372C-4E89-8C4B-05CB4F6F7488}" name="ticker:" dataDxfId="4"/>
    <tableColumn id="2" xr3:uid="{72C8A796-CEDE-468F-B606-83C0D7E880B6}" name="اسم الشركه (EGX100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7E578B-49F3-4B15-96AF-6A950B684A74}" name="Table9" displayName="Table9" ref="J2:J4" totalsRowShown="0">
  <autoFilter ref="J2:J4" xr:uid="{207E578B-49F3-4B15-96AF-6A950B684A74}"/>
  <tableColumns count="1">
    <tableColumn id="1" xr3:uid="{5039AFFB-3B0E-414F-B59A-78399353255E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38CCEE-AF7A-410C-B6B5-D4E23AA0A005}" name="Table10" displayName="Table10" ref="B13:C17" totalsRowShown="0">
  <autoFilter ref="B13:C17" xr:uid="{E238CCEE-AF7A-410C-B6B5-D4E23AA0A005}"/>
  <tableColumns count="2">
    <tableColumn id="1" xr3:uid="{70E663D3-69C4-47A8-B9C9-17B57EAD240A}" name="PERIOD" dataDxfId="3"/>
    <tableColumn id="2" xr3:uid="{971F217A-E0DC-4568-8E19-A4DF55D5E71F}" name="DA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93EB2-5EC4-49F7-93BC-DCE5C043CC2F}" name="Table1" displayName="Table1" ref="E2:E38" totalsRowShown="0" headerRowDxfId="2" dataDxfId="1">
  <autoFilter ref="E2:E38" xr:uid="{8EB93EB2-5EC4-49F7-93BC-DCE5C043CC2F}"/>
  <tableColumns count="1">
    <tableColumn id="1" xr3:uid="{10B2E228-605B-44B4-9126-041346F93D7F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 /><Relationship Id="rId1" Type="http://schemas.openxmlformats.org/officeDocument/2006/relationships/vmlDrawing" Target="../drawings/vmlDrawing4.v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4.bin" /><Relationship Id="rId6" Type="http://schemas.openxmlformats.org/officeDocument/2006/relationships/table" Target="../tables/table5.xml" /><Relationship Id="rId5" Type="http://schemas.openxmlformats.org/officeDocument/2006/relationships/table" Target="../tables/table4.xml" /><Relationship Id="rId4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6DC9-7805-40DC-8744-A1AB2732507E}">
  <dimension ref="B3:N65"/>
  <sheetViews>
    <sheetView topLeftCell="D46" zoomScale="85" zoomScaleNormal="85" workbookViewId="0">
      <selection activeCell="E56" sqref="E56:G56"/>
    </sheetView>
  </sheetViews>
  <sheetFormatPr defaultRowHeight="13.5" x14ac:dyDescent="0.15"/>
  <cols>
    <col min="1" max="1" width="12.2578125" customWidth="1"/>
    <col min="2" max="2" width="12.13671875" bestFit="1" customWidth="1"/>
    <col min="3" max="3" width="8.82421875" customWidth="1"/>
    <col min="4" max="4" width="22.30859375" customWidth="1"/>
    <col min="5" max="5" width="9.8046875" bestFit="1" customWidth="1"/>
    <col min="6" max="6" width="11.5234375" customWidth="1"/>
    <col min="7" max="8" width="10.54296875" bestFit="1" customWidth="1"/>
    <col min="9" max="9" width="9.68359375" customWidth="1"/>
    <col min="10" max="10" width="12.01171875" customWidth="1"/>
    <col min="11" max="11" width="9.8046875" customWidth="1"/>
    <col min="12" max="12" width="20.71484375" customWidth="1"/>
    <col min="14" max="14" width="16.546875" customWidth="1"/>
    <col min="15" max="15" width="12.13671875" customWidth="1"/>
    <col min="16" max="16" width="24.1484375" customWidth="1"/>
    <col min="18" max="18" width="9.31640625" customWidth="1"/>
    <col min="19" max="19" width="8.82421875" customWidth="1"/>
  </cols>
  <sheetData>
    <row r="3" spans="2:14" ht="18" x14ac:dyDescent="0.2">
      <c r="B3" s="1" t="s">
        <v>1</v>
      </c>
      <c r="C3" s="15" t="s">
        <v>262</v>
      </c>
      <c r="D3" s="37" t="str">
        <f>VLOOKUP(C3,SOURCE!$G$3:$H$104,2,FALSE)</f>
        <v>مجموعة اي اف جي القابضة</v>
      </c>
      <c r="E3" s="37"/>
      <c r="F3" s="37"/>
      <c r="G3" s="37"/>
      <c r="J3" s="34" t="s">
        <v>43</v>
      </c>
      <c r="K3" s="35"/>
      <c r="L3" s="35"/>
      <c r="M3" s="35"/>
      <c r="N3" s="36"/>
    </row>
    <row r="4" spans="2:14" ht="18" x14ac:dyDescent="0.2">
      <c r="B4" s="137" t="s">
        <v>60</v>
      </c>
      <c r="C4" s="138"/>
      <c r="D4" s="138"/>
      <c r="E4" s="18" t="s">
        <v>64</v>
      </c>
      <c r="F4" s="3">
        <v>2024</v>
      </c>
      <c r="G4" s="17" t="s">
        <v>73</v>
      </c>
      <c r="J4" s="24" t="s">
        <v>279</v>
      </c>
      <c r="K4" s="25"/>
      <c r="L4" s="26"/>
      <c r="M4" s="107">
        <f>(E14/E23)</f>
        <v>1.2308030481271859</v>
      </c>
      <c r="N4" s="108"/>
    </row>
    <row r="5" spans="2:14" ht="18" x14ac:dyDescent="0.2">
      <c r="B5" s="21" t="s">
        <v>22</v>
      </c>
      <c r="C5" s="22"/>
      <c r="D5" s="22"/>
      <c r="E5" s="22"/>
      <c r="F5" s="22"/>
      <c r="G5" s="23"/>
      <c r="J5" s="24" t="s">
        <v>50</v>
      </c>
      <c r="K5" s="25"/>
      <c r="L5" s="26"/>
      <c r="M5" s="107">
        <f>((E14-E9)/E23)</f>
        <v>0.94921422196206107</v>
      </c>
      <c r="N5" s="108"/>
    </row>
    <row r="6" spans="2:14" ht="18" x14ac:dyDescent="0.2">
      <c r="B6" s="21" t="s">
        <v>21</v>
      </c>
      <c r="C6" s="22"/>
      <c r="D6" s="22"/>
      <c r="E6" s="22"/>
      <c r="F6" s="22"/>
      <c r="G6" s="23"/>
      <c r="J6" s="24" t="s">
        <v>51</v>
      </c>
      <c r="K6" s="25"/>
      <c r="L6" s="26"/>
      <c r="M6" s="107">
        <f>((E14-E10)/E23)</f>
        <v>0.36114836697874114</v>
      </c>
      <c r="N6" s="108"/>
    </row>
    <row r="7" spans="2:14" ht="18" x14ac:dyDescent="0.2">
      <c r="B7" s="28" t="s">
        <v>16</v>
      </c>
      <c r="C7" s="29"/>
      <c r="D7" s="30"/>
      <c r="E7" s="159">
        <v>2406959000</v>
      </c>
      <c r="F7" s="160"/>
      <c r="G7" s="161"/>
      <c r="J7" s="24" t="s">
        <v>52</v>
      </c>
      <c r="K7" s="25"/>
      <c r="L7" s="26"/>
      <c r="M7" s="107">
        <f>(E12/E23)</f>
        <v>0.27753068062690917</v>
      </c>
      <c r="N7" s="108"/>
    </row>
    <row r="8" spans="2:14" ht="18" x14ac:dyDescent="0.2">
      <c r="B8" s="45" t="s">
        <v>15</v>
      </c>
      <c r="C8" s="46"/>
      <c r="D8" s="46"/>
      <c r="E8" s="46"/>
      <c r="F8" s="46"/>
      <c r="G8" s="47"/>
      <c r="J8" s="24" t="s">
        <v>291</v>
      </c>
      <c r="K8" s="25"/>
      <c r="L8" s="26"/>
      <c r="M8" s="170">
        <f>(E14-E23)</f>
        <v>8794259000</v>
      </c>
      <c r="N8" s="171"/>
    </row>
    <row r="9" spans="2:14" ht="18" x14ac:dyDescent="0.2">
      <c r="B9" s="24" t="s">
        <v>2</v>
      </c>
      <c r="C9" s="25"/>
      <c r="D9" s="26"/>
      <c r="E9" s="159">
        <v>10729343000</v>
      </c>
      <c r="F9" s="160"/>
      <c r="G9" s="161"/>
      <c r="J9" s="24" t="s">
        <v>292</v>
      </c>
      <c r="K9" s="25"/>
      <c r="L9" s="26"/>
      <c r="M9" s="107">
        <f>(M8/E23)</f>
        <v>0.2308030481271858</v>
      </c>
      <c r="N9" s="108"/>
    </row>
    <row r="10" spans="2:14" ht="18" x14ac:dyDescent="0.2">
      <c r="B10" s="24" t="s">
        <v>26</v>
      </c>
      <c r="C10" s="25"/>
      <c r="D10" s="26"/>
      <c r="E10" s="159">
        <v>33136341000</v>
      </c>
      <c r="F10" s="160"/>
      <c r="G10" s="161"/>
      <c r="J10" s="38" t="s">
        <v>38</v>
      </c>
      <c r="K10" s="39"/>
      <c r="L10" s="39"/>
      <c r="M10" s="39"/>
      <c r="N10" s="40"/>
    </row>
    <row r="11" spans="2:14" ht="18" x14ac:dyDescent="0.2">
      <c r="B11" s="24" t="s">
        <v>27</v>
      </c>
      <c r="C11" s="25"/>
      <c r="D11" s="26"/>
      <c r="E11" s="159">
        <v>45566677000</v>
      </c>
      <c r="F11" s="160"/>
      <c r="G11" s="161"/>
      <c r="J11" s="41" t="s">
        <v>48</v>
      </c>
      <c r="K11" s="42"/>
      <c r="L11" s="43"/>
      <c r="M11" s="172">
        <f>(E24/E15)</f>
        <v>0.87039916972405329</v>
      </c>
      <c r="N11" s="173"/>
    </row>
    <row r="12" spans="2:14" ht="18" x14ac:dyDescent="0.2">
      <c r="B12" s="24" t="s">
        <v>25</v>
      </c>
      <c r="C12" s="25"/>
      <c r="D12" s="26"/>
      <c r="E12" s="159">
        <v>10574716000</v>
      </c>
      <c r="F12" s="160"/>
      <c r="G12" s="161"/>
      <c r="J12" s="41" t="s">
        <v>39</v>
      </c>
      <c r="K12" s="42"/>
      <c r="L12" s="43"/>
      <c r="M12" s="166">
        <f>(E24/E18)</f>
        <v>2.3377709368763417</v>
      </c>
      <c r="N12" s="167"/>
    </row>
    <row r="13" spans="2:14" ht="18" x14ac:dyDescent="0.2">
      <c r="B13" s="24" t="s">
        <v>24</v>
      </c>
      <c r="C13" s="25"/>
      <c r="D13" s="26"/>
      <c r="E13" s="159"/>
      <c r="F13" s="160"/>
      <c r="G13" s="161"/>
      <c r="J13" s="41" t="s">
        <v>293</v>
      </c>
      <c r="K13" s="42"/>
      <c r="L13" s="43"/>
      <c r="M13" s="166">
        <f>(E23/E18)</f>
        <v>2.0756697275493883</v>
      </c>
      <c r="N13" s="167"/>
    </row>
    <row r="14" spans="2:14" ht="18" x14ac:dyDescent="0.2">
      <c r="B14" s="28" t="s">
        <v>17</v>
      </c>
      <c r="C14" s="29"/>
      <c r="D14" s="30"/>
      <c r="E14" s="159">
        <v>46897131000</v>
      </c>
      <c r="F14" s="160"/>
      <c r="G14" s="161"/>
      <c r="J14" s="41" t="s">
        <v>40</v>
      </c>
      <c r="K14" s="42"/>
      <c r="L14" s="43"/>
      <c r="M14" s="168">
        <f>(E18/E7)</f>
        <v>7.6265964646676574</v>
      </c>
      <c r="N14" s="169"/>
    </row>
    <row r="15" spans="2:14" ht="18" x14ac:dyDescent="0.2">
      <c r="B15" s="28" t="s">
        <v>5</v>
      </c>
      <c r="C15" s="29"/>
      <c r="D15" s="30"/>
      <c r="E15" s="159">
        <f>(E7+E14)</f>
        <v>49304090000</v>
      </c>
      <c r="F15" s="160"/>
      <c r="G15" s="161"/>
      <c r="J15" s="41" t="s">
        <v>49</v>
      </c>
      <c r="K15" s="42"/>
      <c r="L15" s="43"/>
      <c r="M15" s="168" t="e">
        <f>(E31/E30)</f>
        <v>#DIV/0!</v>
      </c>
      <c r="N15" s="169"/>
    </row>
    <row r="16" spans="2:14" ht="18" x14ac:dyDescent="0.2">
      <c r="B16" s="51" t="s">
        <v>4</v>
      </c>
      <c r="C16" s="52"/>
      <c r="D16" s="52"/>
      <c r="E16" s="52"/>
      <c r="F16" s="52"/>
      <c r="G16" s="53"/>
      <c r="J16" s="62" t="s">
        <v>56</v>
      </c>
      <c r="K16" s="63"/>
      <c r="L16" s="63"/>
      <c r="M16" s="63"/>
      <c r="N16" s="64"/>
    </row>
    <row r="17" spans="2:14" ht="18" x14ac:dyDescent="0.2">
      <c r="B17" s="65" t="s">
        <v>3</v>
      </c>
      <c r="C17" s="66"/>
      <c r="D17" s="66"/>
      <c r="E17" s="66"/>
      <c r="F17" s="66"/>
      <c r="G17" s="67"/>
      <c r="J17" s="54" t="s">
        <v>42</v>
      </c>
      <c r="K17" s="55"/>
      <c r="L17" s="56"/>
      <c r="M17" s="164">
        <f>(E28/E9)</f>
        <v>2.069837267761875</v>
      </c>
      <c r="N17" s="165"/>
    </row>
    <row r="18" spans="2:14" ht="18" x14ac:dyDescent="0.2">
      <c r="B18" s="68" t="s">
        <v>7</v>
      </c>
      <c r="C18" s="69"/>
      <c r="D18" s="70"/>
      <c r="E18" s="156">
        <v>18356905000</v>
      </c>
      <c r="F18" s="157"/>
      <c r="G18" s="158"/>
      <c r="J18" s="58" t="s">
        <v>298</v>
      </c>
      <c r="K18" s="59"/>
      <c r="L18" s="60"/>
      <c r="M18" s="98">
        <f>(E56/M17)</f>
        <v>43.481679164718798</v>
      </c>
      <c r="N18" s="99"/>
    </row>
    <row r="19" spans="2:14" ht="18" x14ac:dyDescent="0.2">
      <c r="B19" s="51" t="s">
        <v>10</v>
      </c>
      <c r="C19" s="52"/>
      <c r="D19" s="52"/>
      <c r="E19" s="52"/>
      <c r="F19" s="52"/>
      <c r="G19" s="53"/>
      <c r="J19" s="54" t="s">
        <v>41</v>
      </c>
      <c r="K19" s="55"/>
      <c r="L19" s="56"/>
      <c r="M19" s="164">
        <f>(E27/E10)</f>
        <v>0.78501416315096473</v>
      </c>
      <c r="N19" s="165"/>
    </row>
    <row r="20" spans="2:14" ht="18" x14ac:dyDescent="0.2">
      <c r="B20" s="51" t="s">
        <v>9</v>
      </c>
      <c r="C20" s="52"/>
      <c r="D20" s="52"/>
      <c r="E20" s="52"/>
      <c r="F20" s="52"/>
      <c r="G20" s="53"/>
      <c r="J20" s="58" t="s">
        <v>299</v>
      </c>
      <c r="K20" s="59"/>
      <c r="L20" s="60"/>
      <c r="M20" s="162">
        <f>(E56/M19)</f>
        <v>114.64761302999861</v>
      </c>
      <c r="N20" s="163"/>
    </row>
    <row r="21" spans="2:14" ht="18" x14ac:dyDescent="0.2">
      <c r="B21" s="85" t="s">
        <v>18</v>
      </c>
      <c r="C21" s="86"/>
      <c r="D21" s="87"/>
      <c r="E21" s="153">
        <v>4811367000</v>
      </c>
      <c r="F21" s="154"/>
      <c r="G21" s="155"/>
      <c r="J21" s="54" t="s">
        <v>296</v>
      </c>
      <c r="K21" s="55"/>
      <c r="L21" s="56"/>
      <c r="M21" s="164"/>
      <c r="N21" s="165"/>
    </row>
    <row r="22" spans="2:14" ht="18" x14ac:dyDescent="0.2">
      <c r="B22" s="88" t="s">
        <v>20</v>
      </c>
      <c r="C22" s="89"/>
      <c r="D22" s="89"/>
      <c r="E22" s="89"/>
      <c r="F22" s="89"/>
      <c r="G22" s="90"/>
      <c r="J22" s="81" t="s">
        <v>295</v>
      </c>
      <c r="K22" s="82"/>
      <c r="L22" s="83"/>
      <c r="M22" s="162">
        <f>(M21/E56)</f>
        <v>0</v>
      </c>
      <c r="N22" s="163"/>
    </row>
    <row r="23" spans="2:14" ht="18" x14ac:dyDescent="0.2">
      <c r="B23" s="75" t="s">
        <v>19</v>
      </c>
      <c r="C23" s="76"/>
      <c r="D23" s="77"/>
      <c r="E23" s="153">
        <v>38102872000</v>
      </c>
      <c r="F23" s="154"/>
      <c r="G23" s="155"/>
      <c r="J23" s="81" t="s">
        <v>294</v>
      </c>
      <c r="K23" s="82"/>
      <c r="L23" s="83"/>
      <c r="M23" s="162">
        <f>M18+M20</f>
        <v>158.12929219471741</v>
      </c>
      <c r="N23" s="163"/>
    </row>
    <row r="24" spans="2:14" ht="18" x14ac:dyDescent="0.2">
      <c r="B24" s="75" t="s">
        <v>6</v>
      </c>
      <c r="C24" s="76"/>
      <c r="D24" s="77"/>
      <c r="E24" s="153">
        <f>(E21+E23)</f>
        <v>42914239000</v>
      </c>
      <c r="F24" s="154"/>
      <c r="G24" s="155"/>
      <c r="J24" s="81" t="s">
        <v>297</v>
      </c>
      <c r="K24" s="82"/>
      <c r="L24" s="83"/>
      <c r="M24" s="162">
        <f>((M18+M20)-M22)</f>
        <v>158.12929219471741</v>
      </c>
      <c r="N24" s="163"/>
    </row>
    <row r="25" spans="2:14" ht="18" x14ac:dyDescent="0.2">
      <c r="B25" s="75" t="s">
        <v>8</v>
      </c>
      <c r="C25" s="76"/>
      <c r="D25" s="77"/>
      <c r="E25" s="153">
        <f>(E18+E24)</f>
        <v>61271144000</v>
      </c>
      <c r="F25" s="154"/>
      <c r="G25" s="155"/>
      <c r="J25" s="58" t="s">
        <v>37</v>
      </c>
      <c r="K25" s="59"/>
      <c r="L25" s="60"/>
      <c r="M25" s="98">
        <f>(E27/E7)</f>
        <v>10.807204027987183</v>
      </c>
      <c r="N25" s="99"/>
    </row>
    <row r="26" spans="2:14" ht="18" x14ac:dyDescent="0.2">
      <c r="B26" s="140" t="s">
        <v>62</v>
      </c>
      <c r="C26" s="141"/>
      <c r="D26" s="142"/>
      <c r="E26" s="18" t="str">
        <f>(E4)</f>
        <v>JUNE</v>
      </c>
      <c r="F26" s="17">
        <f>F4</f>
        <v>2024</v>
      </c>
      <c r="G26" s="17" t="str">
        <f>(G4)</f>
        <v>YEAR</v>
      </c>
      <c r="J26" s="95" t="s">
        <v>36</v>
      </c>
      <c r="K26" s="96"/>
      <c r="L26" s="97"/>
      <c r="M26" s="98">
        <f>(E27/E14)</f>
        <v>0.55467139343769234</v>
      </c>
      <c r="N26" s="99"/>
    </row>
    <row r="27" spans="2:14" ht="18" x14ac:dyDescent="0.2">
      <c r="B27" s="91" t="s">
        <v>301</v>
      </c>
      <c r="C27" s="91"/>
      <c r="D27" s="91"/>
      <c r="E27" s="92">
        <v>26012497000</v>
      </c>
      <c r="F27" s="93"/>
      <c r="G27" s="94"/>
      <c r="J27" s="95" t="s">
        <v>35</v>
      </c>
      <c r="K27" s="96"/>
      <c r="L27" s="97"/>
      <c r="M27" s="98">
        <f>(E27/E15)</f>
        <v>0.52759308609082933</v>
      </c>
      <c r="N27" s="99"/>
    </row>
    <row r="28" spans="2:14" ht="18" x14ac:dyDescent="0.2">
      <c r="B28" s="91" t="s">
        <v>300</v>
      </c>
      <c r="C28" s="91"/>
      <c r="D28" s="91"/>
      <c r="E28" s="92">
        <v>22207994000</v>
      </c>
      <c r="F28" s="93"/>
      <c r="G28" s="94"/>
      <c r="J28" s="100" t="s">
        <v>44</v>
      </c>
      <c r="K28" s="101"/>
      <c r="L28" s="101"/>
      <c r="M28" s="101"/>
      <c r="N28" s="102"/>
    </row>
    <row r="29" spans="2:14" ht="18" x14ac:dyDescent="0.2">
      <c r="B29" s="109" t="s">
        <v>11</v>
      </c>
      <c r="C29" s="109"/>
      <c r="D29" s="109"/>
      <c r="E29" s="110">
        <f>(E27-E28)</f>
        <v>3804503000</v>
      </c>
      <c r="F29" s="111"/>
      <c r="G29" s="112"/>
      <c r="J29" s="24" t="s">
        <v>302</v>
      </c>
      <c r="K29" s="25"/>
      <c r="L29" s="26"/>
      <c r="M29" s="107">
        <f>(E29/E27)</f>
        <v>0.14625673959712518</v>
      </c>
      <c r="N29" s="108"/>
    </row>
    <row r="30" spans="2:14" ht="18" x14ac:dyDescent="0.2">
      <c r="B30" s="54" t="s">
        <v>304</v>
      </c>
      <c r="C30" s="55"/>
      <c r="D30" s="56"/>
      <c r="E30" s="92"/>
      <c r="F30" s="93"/>
      <c r="G30" s="94"/>
      <c r="J30" s="24" t="s">
        <v>45</v>
      </c>
      <c r="K30" s="25"/>
      <c r="L30" s="26"/>
      <c r="M30" s="107">
        <f>(E41/E15)</f>
        <v>0</v>
      </c>
      <c r="N30" s="108"/>
    </row>
    <row r="31" spans="2:14" ht="18" x14ac:dyDescent="0.2">
      <c r="B31" s="103" t="s">
        <v>12</v>
      </c>
      <c r="C31" s="103"/>
      <c r="D31" s="103"/>
      <c r="E31" s="104">
        <v>-293704000</v>
      </c>
      <c r="F31" s="105"/>
      <c r="G31" s="106"/>
      <c r="J31" s="24" t="s">
        <v>46</v>
      </c>
      <c r="K31" s="25"/>
      <c r="L31" s="26"/>
      <c r="M31" s="107">
        <f>(E41/E18)</f>
        <v>0</v>
      </c>
      <c r="N31" s="108"/>
    </row>
    <row r="32" spans="2:14" ht="18" x14ac:dyDescent="0.2">
      <c r="B32" s="103" t="s">
        <v>305</v>
      </c>
      <c r="C32" s="103"/>
      <c r="D32" s="103"/>
      <c r="E32" s="104"/>
      <c r="F32" s="105"/>
      <c r="G32" s="106"/>
      <c r="J32" s="24" t="s">
        <v>53</v>
      </c>
      <c r="K32" s="25"/>
      <c r="L32" s="26"/>
      <c r="M32" s="107">
        <f>(E44)</f>
        <v>1322885000</v>
      </c>
      <c r="N32" s="108"/>
    </row>
    <row r="33" spans="2:14" ht="18" x14ac:dyDescent="0.2">
      <c r="B33" s="103" t="s">
        <v>307</v>
      </c>
      <c r="C33" s="103"/>
      <c r="D33" s="103"/>
      <c r="E33" s="126">
        <v>2334846000</v>
      </c>
      <c r="F33" s="127"/>
      <c r="G33" s="128"/>
      <c r="J33" s="24" t="s">
        <v>303</v>
      </c>
      <c r="K33" s="25"/>
      <c r="L33" s="26"/>
      <c r="M33" s="107">
        <f>E41/E27</f>
        <v>0</v>
      </c>
      <c r="N33" s="108"/>
    </row>
    <row r="34" spans="2:14" ht="18" x14ac:dyDescent="0.2">
      <c r="B34" s="103" t="s">
        <v>14</v>
      </c>
      <c r="C34" s="103"/>
      <c r="D34" s="103"/>
      <c r="E34" s="104">
        <v>-591575000</v>
      </c>
      <c r="F34" s="105"/>
      <c r="G34" s="106"/>
      <c r="J34" s="129" t="s">
        <v>55</v>
      </c>
      <c r="K34" s="130"/>
      <c r="L34" s="130"/>
      <c r="M34" s="130"/>
      <c r="N34" s="131"/>
    </row>
    <row r="35" spans="2:14" ht="18" x14ac:dyDescent="0.2">
      <c r="B35" s="113" t="s">
        <v>306</v>
      </c>
      <c r="C35" s="113"/>
      <c r="D35" s="113"/>
      <c r="E35" s="114">
        <f>(E33-E34)</f>
        <v>2926421000</v>
      </c>
      <c r="F35" s="115"/>
      <c r="G35" s="116"/>
      <c r="J35" s="117" t="s">
        <v>47</v>
      </c>
      <c r="K35" s="118"/>
      <c r="L35" s="119"/>
      <c r="M35" s="120">
        <f>(E55/M32)</f>
        <v>0</v>
      </c>
      <c r="N35" s="121"/>
    </row>
    <row r="36" spans="2:14" ht="18" x14ac:dyDescent="0.2">
      <c r="B36" s="122" t="s">
        <v>30</v>
      </c>
      <c r="C36" s="122"/>
      <c r="D36" s="122"/>
      <c r="E36" s="123">
        <v>1589594000</v>
      </c>
      <c r="F36" s="124"/>
      <c r="G36" s="125"/>
      <c r="J36" s="117" t="s">
        <v>54</v>
      </c>
      <c r="K36" s="118"/>
      <c r="L36" s="119"/>
      <c r="M36" s="120">
        <f>((E15-E24)/E50)</f>
        <v>2.9255148385206349</v>
      </c>
      <c r="N36" s="121"/>
    </row>
    <row r="37" spans="2:14" ht="18" x14ac:dyDescent="0.2">
      <c r="B37" s="122" t="s">
        <v>29</v>
      </c>
      <c r="C37" s="122"/>
      <c r="D37" s="122"/>
      <c r="E37" s="123">
        <f>(E35-E36)</f>
        <v>1336827000</v>
      </c>
      <c r="F37" s="124"/>
      <c r="G37" s="125"/>
      <c r="J37" s="117" t="s">
        <v>281</v>
      </c>
      <c r="K37" s="118"/>
      <c r="L37" s="119"/>
      <c r="M37" s="120">
        <f>(E51/M36)</f>
        <v>2.5636513277070154</v>
      </c>
      <c r="N37" s="121"/>
    </row>
    <row r="38" spans="2:14" ht="18" x14ac:dyDescent="0.2">
      <c r="B38" s="113" t="s">
        <v>13</v>
      </c>
      <c r="C38" s="113"/>
      <c r="D38" s="113"/>
      <c r="E38" s="123">
        <f>(E36/E50)</f>
        <v>0.7277760990394565</v>
      </c>
      <c r="F38" s="124"/>
      <c r="G38" s="125"/>
    </row>
    <row r="39" spans="2:14" ht="18" x14ac:dyDescent="0.2">
      <c r="B39" s="143" t="s">
        <v>28</v>
      </c>
      <c r="C39" s="144"/>
      <c r="D39" s="144"/>
      <c r="E39" s="144"/>
      <c r="F39" s="144"/>
      <c r="G39" s="145"/>
    </row>
    <row r="40" spans="2:14" ht="18" x14ac:dyDescent="0.2">
      <c r="B40" s="103" t="s">
        <v>23</v>
      </c>
      <c r="C40" s="103"/>
      <c r="D40" s="103"/>
      <c r="E40" s="104">
        <v>-79209000</v>
      </c>
      <c r="F40" s="105"/>
      <c r="G40" s="106"/>
    </row>
    <row r="41" spans="2:14" ht="18" x14ac:dyDescent="0.2">
      <c r="B41" s="95" t="s">
        <v>282</v>
      </c>
      <c r="C41" s="96"/>
      <c r="D41" s="97"/>
      <c r="E41" s="132"/>
      <c r="F41" s="133"/>
      <c r="G41" s="134"/>
    </row>
    <row r="42" spans="2:14" ht="18" x14ac:dyDescent="0.2">
      <c r="B42" s="113" t="s">
        <v>31</v>
      </c>
      <c r="C42" s="113"/>
      <c r="D42" s="113"/>
      <c r="E42" s="132">
        <f>(E35+(E40+E41))</f>
        <v>2847212000</v>
      </c>
      <c r="F42" s="133"/>
      <c r="G42" s="134"/>
    </row>
    <row r="43" spans="2:14" ht="18" x14ac:dyDescent="0.2">
      <c r="B43" s="103" t="s">
        <v>30</v>
      </c>
      <c r="C43" s="103"/>
      <c r="D43" s="103"/>
      <c r="E43" s="132">
        <v>1524327000</v>
      </c>
      <c r="F43" s="133"/>
      <c r="G43" s="134"/>
    </row>
    <row r="44" spans="2:14" ht="18" x14ac:dyDescent="0.2">
      <c r="B44" s="103" t="s">
        <v>29</v>
      </c>
      <c r="C44" s="103"/>
      <c r="D44" s="103"/>
      <c r="E44" s="132">
        <f>(E42-E43)</f>
        <v>1322885000</v>
      </c>
      <c r="F44" s="133"/>
      <c r="G44" s="134"/>
    </row>
    <row r="45" spans="2:14" ht="18" x14ac:dyDescent="0.2">
      <c r="B45" s="122" t="s">
        <v>31</v>
      </c>
      <c r="C45" s="122"/>
      <c r="D45" s="122"/>
      <c r="E45" s="132">
        <f>(E42)</f>
        <v>2847212000</v>
      </c>
      <c r="F45" s="133"/>
      <c r="G45" s="134"/>
    </row>
    <row r="46" spans="2:14" ht="18" x14ac:dyDescent="0.2">
      <c r="B46" s="146" t="s">
        <v>13</v>
      </c>
      <c r="C46" s="146"/>
      <c r="D46" s="146"/>
      <c r="E46" s="132">
        <f>(E43/E50)</f>
        <v>0.69789440430733729</v>
      </c>
      <c r="F46" s="133"/>
      <c r="G46" s="134"/>
    </row>
    <row r="48" spans="2:14" ht="9.75" customHeight="1" x14ac:dyDescent="0.15"/>
    <row r="49" spans="2:9" ht="18" x14ac:dyDescent="0.2">
      <c r="B49" s="151" t="s">
        <v>283</v>
      </c>
      <c r="C49" s="151"/>
      <c r="D49" s="151"/>
      <c r="E49" s="151"/>
      <c r="F49" s="151"/>
      <c r="G49" s="151"/>
    </row>
    <row r="50" spans="2:9" ht="18" x14ac:dyDescent="0.2">
      <c r="B50" s="135" t="s">
        <v>33</v>
      </c>
      <c r="C50" s="135"/>
      <c r="D50" s="135"/>
      <c r="E50" s="152">
        <v>2184180000</v>
      </c>
      <c r="F50" s="152"/>
      <c r="G50" s="152"/>
    </row>
    <row r="51" spans="2:9" ht="18" x14ac:dyDescent="0.2">
      <c r="B51" s="135" t="s">
        <v>34</v>
      </c>
      <c r="C51" s="135"/>
      <c r="D51" s="135"/>
      <c r="E51" s="136">
        <v>7.5</v>
      </c>
      <c r="F51" s="136"/>
      <c r="G51" s="136"/>
    </row>
    <row r="52" spans="2:9" ht="15.6" customHeight="1" x14ac:dyDescent="0.2">
      <c r="B52" s="135" t="s">
        <v>32</v>
      </c>
      <c r="C52" s="135"/>
      <c r="D52" s="135"/>
      <c r="E52" s="149">
        <f>(E51*E50)</f>
        <v>16381350000</v>
      </c>
      <c r="F52" s="149"/>
      <c r="G52" s="149"/>
    </row>
    <row r="53" spans="2:9" ht="18" x14ac:dyDescent="0.2">
      <c r="B53" s="135" t="s">
        <v>57</v>
      </c>
      <c r="C53" s="135"/>
      <c r="D53" s="135"/>
      <c r="E53" s="150"/>
      <c r="F53" s="150"/>
      <c r="G53" s="150"/>
    </row>
    <row r="54" spans="2:9" ht="18" x14ac:dyDescent="0.2">
      <c r="B54" s="135" t="s">
        <v>58</v>
      </c>
      <c r="C54" s="135"/>
      <c r="D54" s="135"/>
      <c r="E54" s="136"/>
      <c r="F54" s="136"/>
      <c r="G54" s="136"/>
    </row>
    <row r="55" spans="2:9" ht="18" x14ac:dyDescent="0.2">
      <c r="B55" s="135" t="s">
        <v>59</v>
      </c>
      <c r="C55" s="135"/>
      <c r="D55" s="135"/>
      <c r="E55" s="136">
        <f>((E53+E54)/2)</f>
        <v>0</v>
      </c>
      <c r="F55" s="136"/>
      <c r="G55" s="136"/>
    </row>
    <row r="56" spans="2:9" ht="18" x14ac:dyDescent="0.2">
      <c r="B56" s="135" t="s">
        <v>63</v>
      </c>
      <c r="C56" s="135"/>
      <c r="D56" s="135"/>
      <c r="E56" s="136">
        <v>90</v>
      </c>
      <c r="F56" s="136"/>
      <c r="G56" s="136"/>
    </row>
    <row r="62" spans="2:9" x14ac:dyDescent="0.15">
      <c r="I62" s="2"/>
    </row>
    <row r="63" spans="2:9" x14ac:dyDescent="0.15">
      <c r="I63" s="2"/>
    </row>
    <row r="64" spans="2:9" x14ac:dyDescent="0.15">
      <c r="I64" s="2"/>
    </row>
    <row r="65" spans="9:9" x14ac:dyDescent="0.15">
      <c r="I65" s="2"/>
    </row>
  </sheetData>
  <mergeCells count="156">
    <mergeCell ref="B4:D4"/>
    <mergeCell ref="B26:D26"/>
    <mergeCell ref="J33:L33"/>
    <mergeCell ref="M33:N33"/>
    <mergeCell ref="B37:D37"/>
    <mergeCell ref="E37:G37"/>
    <mergeCell ref="B39:G39"/>
    <mergeCell ref="B45:D45"/>
    <mergeCell ref="E45:G45"/>
    <mergeCell ref="M5:N5"/>
    <mergeCell ref="J5:L5"/>
    <mergeCell ref="M8:N8"/>
    <mergeCell ref="J8:L8"/>
    <mergeCell ref="M7:N7"/>
    <mergeCell ref="J7:L7"/>
    <mergeCell ref="J10:N10"/>
    <mergeCell ref="M9:N9"/>
    <mergeCell ref="J9:L9"/>
    <mergeCell ref="M11:N11"/>
    <mergeCell ref="J11:L11"/>
    <mergeCell ref="M6:N6"/>
    <mergeCell ref="J6:L6"/>
    <mergeCell ref="M17:N17"/>
    <mergeCell ref="J17:L17"/>
    <mergeCell ref="M21:N21"/>
    <mergeCell ref="J21:L21"/>
    <mergeCell ref="M24:N24"/>
    <mergeCell ref="J24:L24"/>
    <mergeCell ref="M23:N23"/>
    <mergeCell ref="J23:L23"/>
    <mergeCell ref="M18:N18"/>
    <mergeCell ref="J18:L18"/>
    <mergeCell ref="M12:N12"/>
    <mergeCell ref="J12:L12"/>
    <mergeCell ref="M20:N20"/>
    <mergeCell ref="J20:L20"/>
    <mergeCell ref="M19:N19"/>
    <mergeCell ref="J19:L19"/>
    <mergeCell ref="M14:N14"/>
    <mergeCell ref="J14:L14"/>
    <mergeCell ref="M13:N13"/>
    <mergeCell ref="J13:L13"/>
    <mergeCell ref="J16:N16"/>
    <mergeCell ref="M15:N15"/>
    <mergeCell ref="J15:L15"/>
    <mergeCell ref="B5:G5"/>
    <mergeCell ref="J3:N3"/>
    <mergeCell ref="B6:G6"/>
    <mergeCell ref="J4:L4"/>
    <mergeCell ref="M4:N4"/>
    <mergeCell ref="J36:L36"/>
    <mergeCell ref="M30:N30"/>
    <mergeCell ref="J30:L30"/>
    <mergeCell ref="M29:N29"/>
    <mergeCell ref="J29:L29"/>
    <mergeCell ref="M32:N32"/>
    <mergeCell ref="J32:L32"/>
    <mergeCell ref="M31:N31"/>
    <mergeCell ref="J31:L31"/>
    <mergeCell ref="M26:N26"/>
    <mergeCell ref="J26:L26"/>
    <mergeCell ref="M25:N25"/>
    <mergeCell ref="J25:L25"/>
    <mergeCell ref="J28:N28"/>
    <mergeCell ref="M27:N27"/>
    <mergeCell ref="J27:L27"/>
    <mergeCell ref="M22:N22"/>
    <mergeCell ref="J22:L22"/>
    <mergeCell ref="B9:D9"/>
    <mergeCell ref="E9:G9"/>
    <mergeCell ref="B10:D10"/>
    <mergeCell ref="E10:G10"/>
    <mergeCell ref="B7:D7"/>
    <mergeCell ref="E7:G7"/>
    <mergeCell ref="B8:G8"/>
    <mergeCell ref="B13:D13"/>
    <mergeCell ref="E13:G13"/>
    <mergeCell ref="B14:D14"/>
    <mergeCell ref="E14:G14"/>
    <mergeCell ref="B11:D11"/>
    <mergeCell ref="E11:G11"/>
    <mergeCell ref="B12:D12"/>
    <mergeCell ref="E12:G12"/>
    <mergeCell ref="B17:G17"/>
    <mergeCell ref="B18:D18"/>
    <mergeCell ref="E18:G18"/>
    <mergeCell ref="B15:D15"/>
    <mergeCell ref="E15:G15"/>
    <mergeCell ref="B16:G16"/>
    <mergeCell ref="B21:D21"/>
    <mergeCell ref="E21:G21"/>
    <mergeCell ref="B22:G22"/>
    <mergeCell ref="B19:G19"/>
    <mergeCell ref="B20:G20"/>
    <mergeCell ref="B25:D25"/>
    <mergeCell ref="E25:G25"/>
    <mergeCell ref="B23:D23"/>
    <mergeCell ref="E23:G23"/>
    <mergeCell ref="B24:D24"/>
    <mergeCell ref="E24:G24"/>
    <mergeCell ref="B29:D29"/>
    <mergeCell ref="E29:G29"/>
    <mergeCell ref="B30:D30"/>
    <mergeCell ref="E30:G30"/>
    <mergeCell ref="B27:D27"/>
    <mergeCell ref="E27:G27"/>
    <mergeCell ref="B28:D28"/>
    <mergeCell ref="E28:G28"/>
    <mergeCell ref="B31:D31"/>
    <mergeCell ref="E31:G31"/>
    <mergeCell ref="B32:D32"/>
    <mergeCell ref="E32:G32"/>
    <mergeCell ref="M36:N36"/>
    <mergeCell ref="J37:L37"/>
    <mergeCell ref="M37:N37"/>
    <mergeCell ref="B35:D35"/>
    <mergeCell ref="E35:G35"/>
    <mergeCell ref="J34:N34"/>
    <mergeCell ref="B36:D36"/>
    <mergeCell ref="E36:G36"/>
    <mergeCell ref="J35:L35"/>
    <mergeCell ref="M35:N35"/>
    <mergeCell ref="B40:D40"/>
    <mergeCell ref="E40:G40"/>
    <mergeCell ref="B51:D51"/>
    <mergeCell ref="E51:G51"/>
    <mergeCell ref="B34:D34"/>
    <mergeCell ref="E34:G34"/>
    <mergeCell ref="B46:D46"/>
    <mergeCell ref="E46:G46"/>
    <mergeCell ref="B33:D33"/>
    <mergeCell ref="E33:G33"/>
    <mergeCell ref="D3:G3"/>
    <mergeCell ref="B56:D56"/>
    <mergeCell ref="E56:G56"/>
    <mergeCell ref="B53:D53"/>
    <mergeCell ref="E53:G53"/>
    <mergeCell ref="B54:D54"/>
    <mergeCell ref="E54:G54"/>
    <mergeCell ref="B55:D55"/>
    <mergeCell ref="E55:G55"/>
    <mergeCell ref="B44:D44"/>
    <mergeCell ref="E44:G44"/>
    <mergeCell ref="B49:G49"/>
    <mergeCell ref="B50:D50"/>
    <mergeCell ref="E50:G50"/>
    <mergeCell ref="B52:D52"/>
    <mergeCell ref="E52:G52"/>
    <mergeCell ref="B41:D41"/>
    <mergeCell ref="E41:G41"/>
    <mergeCell ref="B42:D42"/>
    <mergeCell ref="E42:G42"/>
    <mergeCell ref="B43:D43"/>
    <mergeCell ref="E43:G43"/>
    <mergeCell ref="B38:D38"/>
    <mergeCell ref="E38:G38"/>
  </mergeCells>
  <phoneticPr fontId="22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94ACC4C-7A5E-4D42-8CE5-C14133BE6979}">
          <x14:formula1>
            <xm:f>SOURCE!$G$3:$G$104</xm:f>
          </x14:formula1>
          <xm:sqref>C3</xm:sqref>
        </x14:dataValidation>
        <x14:dataValidation type="list" allowBlank="1" showInputMessage="1" showErrorMessage="1" xr:uid="{0FF1DF06-95D1-4E12-9378-F09BEA9A1352}">
          <x14:formula1>
            <xm:f>SOURCE!$B$3:$B$6</xm:f>
          </x14:formula1>
          <xm:sqref>E4</xm:sqref>
        </x14:dataValidation>
        <x14:dataValidation type="list" allowBlank="1" showInputMessage="1" showErrorMessage="1" xr:uid="{62AE5C83-603B-4256-B112-A0FA73724530}">
          <x14:formula1>
            <xm:f>SOURCE!$C$3:$C$9</xm:f>
          </x14:formula1>
          <xm:sqref>G4</xm:sqref>
        </x14:dataValidation>
        <x14:dataValidation type="list" allowBlank="1" showInputMessage="1" showErrorMessage="1" xr:uid="{10D34086-99D7-4119-A64A-48AF2E707E8D}">
          <x14:formula1>
            <xm:f>SOURCE!$J$3:$J$4</xm:f>
          </x14:formula1>
          <xm:sqref>B4</xm:sqref>
        </x14:dataValidation>
        <x14:dataValidation type="list" allowBlank="1" showInputMessage="1" showErrorMessage="1" xr:uid="{D36DFB08-C93D-4BC7-A44C-CAEB58A266D9}">
          <x14:formula1>
            <xm:f>SOURCE!$E$3:$E$38</xm:f>
          </x14:formula1>
          <xm:sqref>F4</xm:sqref>
        </x14:dataValidation>
        <x14:dataValidation type="list" allowBlank="1" showInputMessage="1" showErrorMessage="1" xr:uid="{9D7E4E3A-E92B-4FA8-8A81-B83FC42CBA48}">
          <x14:formula1>
            <xm:f>SOURCE!$C$14:$C$17</xm:f>
          </x14:formula1>
          <xm:sqref>E56:G56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53A5-3850-4C1B-A118-F34178B1BCBF}">
  <dimension ref="B3:N65"/>
  <sheetViews>
    <sheetView tabSelected="1" topLeftCell="A17" zoomScale="85" zoomScaleNormal="85" workbookViewId="0">
      <selection activeCell="G60" sqref="G60"/>
    </sheetView>
  </sheetViews>
  <sheetFormatPr defaultRowHeight="13.5" x14ac:dyDescent="0.15"/>
  <cols>
    <col min="1" max="1" width="12.2578125" customWidth="1"/>
    <col min="2" max="2" width="12.13671875" bestFit="1" customWidth="1"/>
    <col min="3" max="3" width="8.82421875" customWidth="1"/>
    <col min="4" max="4" width="20.71484375" customWidth="1"/>
    <col min="5" max="5" width="9.8046875" bestFit="1" customWidth="1"/>
    <col min="6" max="6" width="11.890625" customWidth="1"/>
    <col min="7" max="8" width="10.54296875" bestFit="1" customWidth="1"/>
    <col min="9" max="9" width="9.68359375" customWidth="1"/>
    <col min="10" max="10" width="12.01171875" customWidth="1"/>
    <col min="11" max="11" width="9.8046875" customWidth="1"/>
    <col min="12" max="12" width="17.8984375" customWidth="1"/>
    <col min="14" max="14" width="16.546875" customWidth="1"/>
    <col min="15" max="15" width="12.13671875" customWidth="1"/>
    <col min="16" max="16" width="9.31640625" customWidth="1"/>
    <col min="18" max="18" width="9.31640625" customWidth="1"/>
    <col min="19" max="19" width="8.82421875" customWidth="1"/>
  </cols>
  <sheetData>
    <row r="3" spans="2:14" ht="18" x14ac:dyDescent="0.2">
      <c r="B3" s="1" t="s">
        <v>1</v>
      </c>
      <c r="C3" s="15" t="s">
        <v>177</v>
      </c>
      <c r="D3" s="37" t="str">
        <f>VLOOKUP(C3,SOURCE!$G$3:$H$104,2,FALSE)</f>
        <v>ابوقير للاسمدة والصناعات الكيماوية</v>
      </c>
      <c r="E3" s="37"/>
      <c r="F3" s="37"/>
      <c r="G3" s="37"/>
      <c r="J3" s="34" t="s">
        <v>43</v>
      </c>
      <c r="K3" s="35"/>
      <c r="L3" s="35"/>
      <c r="M3" s="35"/>
      <c r="N3" s="36"/>
    </row>
    <row r="4" spans="2:14" ht="18" x14ac:dyDescent="0.2">
      <c r="B4" s="137" t="s">
        <v>60</v>
      </c>
      <c r="C4" s="138"/>
      <c r="D4" s="139"/>
      <c r="E4" s="18" t="s">
        <v>64</v>
      </c>
      <c r="F4" s="3">
        <v>2024</v>
      </c>
      <c r="G4" s="17" t="s">
        <v>69</v>
      </c>
      <c r="J4" s="24" t="s">
        <v>279</v>
      </c>
      <c r="K4" s="25"/>
      <c r="L4" s="26"/>
      <c r="M4" s="27">
        <f>(E14/E23)</f>
        <v>0.46027963611559991</v>
      </c>
      <c r="N4" s="27"/>
    </row>
    <row r="5" spans="2:14" ht="18" x14ac:dyDescent="0.2">
      <c r="B5" s="21" t="s">
        <v>22</v>
      </c>
      <c r="C5" s="22"/>
      <c r="D5" s="22"/>
      <c r="E5" s="22"/>
      <c r="F5" s="22"/>
      <c r="G5" s="23"/>
      <c r="J5" s="24" t="s">
        <v>50</v>
      </c>
      <c r="K5" s="25"/>
      <c r="L5" s="26"/>
      <c r="M5" s="27">
        <f>((E14-E9)/E23)</f>
        <v>0.38533953050740649</v>
      </c>
      <c r="N5" s="27"/>
    </row>
    <row r="6" spans="2:14" ht="18" x14ac:dyDescent="0.2">
      <c r="B6" s="21" t="s">
        <v>21</v>
      </c>
      <c r="C6" s="22"/>
      <c r="D6" s="22"/>
      <c r="E6" s="22"/>
      <c r="F6" s="22"/>
      <c r="G6" s="23"/>
      <c r="J6" s="24" t="s">
        <v>51</v>
      </c>
      <c r="K6" s="25"/>
      <c r="L6" s="26"/>
      <c r="M6" s="27">
        <f>((E14-E10)/E23)</f>
        <v>0.33577680674514976</v>
      </c>
      <c r="N6" s="27"/>
    </row>
    <row r="7" spans="2:14" ht="18" x14ac:dyDescent="0.2">
      <c r="B7" s="28" t="s">
        <v>16</v>
      </c>
      <c r="C7" s="29"/>
      <c r="D7" s="30"/>
      <c r="E7" s="31">
        <v>143429270000</v>
      </c>
      <c r="F7" s="32"/>
      <c r="G7" s="33"/>
      <c r="J7" s="24" t="s">
        <v>52</v>
      </c>
      <c r="K7" s="25"/>
      <c r="L7" s="26"/>
      <c r="M7" s="27">
        <f>(E12/E23)</f>
        <v>8.1832715908068426E-2</v>
      </c>
      <c r="N7" s="27"/>
    </row>
    <row r="8" spans="2:14" ht="18" x14ac:dyDescent="0.2">
      <c r="B8" s="45" t="s">
        <v>15</v>
      </c>
      <c r="C8" s="46"/>
      <c r="D8" s="46"/>
      <c r="E8" s="46"/>
      <c r="F8" s="46"/>
      <c r="G8" s="47"/>
      <c r="J8" s="24" t="s">
        <v>291</v>
      </c>
      <c r="K8" s="25"/>
      <c r="L8" s="26"/>
      <c r="M8" s="48">
        <f>(E14-E23)</f>
        <v>-48592222000</v>
      </c>
      <c r="N8" s="48"/>
    </row>
    <row r="9" spans="2:14" ht="18" x14ac:dyDescent="0.2">
      <c r="B9" s="24" t="s">
        <v>2</v>
      </c>
      <c r="C9" s="25"/>
      <c r="D9" s="26"/>
      <c r="E9" s="31">
        <v>6747024000</v>
      </c>
      <c r="F9" s="32"/>
      <c r="G9" s="33"/>
      <c r="J9" s="24" t="s">
        <v>292</v>
      </c>
      <c r="K9" s="25"/>
      <c r="L9" s="26"/>
      <c r="M9" s="27">
        <f>(M8/E23)</f>
        <v>-0.53972036388440014</v>
      </c>
      <c r="N9" s="27"/>
    </row>
    <row r="10" spans="2:14" ht="18" x14ac:dyDescent="0.2">
      <c r="B10" s="24" t="s">
        <v>26</v>
      </c>
      <c r="C10" s="25"/>
      <c r="D10" s="26"/>
      <c r="E10" s="31">
        <v>11209266000</v>
      </c>
      <c r="F10" s="32"/>
      <c r="G10" s="33"/>
      <c r="J10" s="38" t="s">
        <v>38</v>
      </c>
      <c r="K10" s="39"/>
      <c r="L10" s="39"/>
      <c r="M10" s="39"/>
      <c r="N10" s="40"/>
    </row>
    <row r="11" spans="2:14" ht="18" x14ac:dyDescent="0.2">
      <c r="B11" s="24" t="s">
        <v>27</v>
      </c>
      <c r="C11" s="25"/>
      <c r="D11" s="26"/>
      <c r="E11" s="31">
        <v>10869636000</v>
      </c>
      <c r="F11" s="32"/>
      <c r="G11" s="33"/>
      <c r="J11" s="41" t="s">
        <v>48</v>
      </c>
      <c r="K11" s="42"/>
      <c r="L11" s="43"/>
      <c r="M11" s="44">
        <f>(E24/E15)</f>
        <v>0.7649000036333784</v>
      </c>
      <c r="N11" s="44"/>
    </row>
    <row r="12" spans="2:14" ht="18" x14ac:dyDescent="0.2">
      <c r="B12" s="24" t="s">
        <v>25</v>
      </c>
      <c r="C12" s="25"/>
      <c r="D12" s="26"/>
      <c r="E12" s="31">
        <v>7367581000</v>
      </c>
      <c r="F12" s="32"/>
      <c r="G12" s="33"/>
      <c r="J12" s="41" t="s">
        <v>39</v>
      </c>
      <c r="K12" s="42"/>
      <c r="L12" s="43"/>
      <c r="M12" s="50">
        <f>(E24/E18)</f>
        <v>3.2535092107809804</v>
      </c>
      <c r="N12" s="50"/>
    </row>
    <row r="13" spans="2:14" ht="18" x14ac:dyDescent="0.2">
      <c r="B13" s="24" t="s">
        <v>24</v>
      </c>
      <c r="C13" s="25"/>
      <c r="D13" s="26"/>
      <c r="E13" s="31"/>
      <c r="F13" s="32"/>
      <c r="G13" s="33"/>
      <c r="J13" s="41" t="s">
        <v>293</v>
      </c>
      <c r="K13" s="42"/>
      <c r="L13" s="43"/>
      <c r="M13" s="50">
        <f>(E23/E18)</f>
        <v>2.0714793702489791</v>
      </c>
      <c r="N13" s="50"/>
    </row>
    <row r="14" spans="2:14" ht="18" x14ac:dyDescent="0.2">
      <c r="B14" s="28" t="s">
        <v>17</v>
      </c>
      <c r="C14" s="29"/>
      <c r="D14" s="30"/>
      <c r="E14" s="31">
        <v>41439997000</v>
      </c>
      <c r="F14" s="32"/>
      <c r="G14" s="33"/>
      <c r="J14" s="41" t="s">
        <v>40</v>
      </c>
      <c r="K14" s="42"/>
      <c r="L14" s="43"/>
      <c r="M14" s="49">
        <f>(E18/E7)</f>
        <v>0.30302576315141255</v>
      </c>
      <c r="N14" s="49"/>
    </row>
    <row r="15" spans="2:14" ht="18" x14ac:dyDescent="0.2">
      <c r="B15" s="28" t="s">
        <v>5</v>
      </c>
      <c r="C15" s="29"/>
      <c r="D15" s="30"/>
      <c r="E15" s="31">
        <f>(E7+E14)</f>
        <v>184869267000</v>
      </c>
      <c r="F15" s="32"/>
      <c r="G15" s="33"/>
      <c r="J15" s="41" t="s">
        <v>49</v>
      </c>
      <c r="K15" s="42"/>
      <c r="L15" s="43"/>
      <c r="M15" s="49" t="e">
        <f>(E31/E30)</f>
        <v>#DIV/0!</v>
      </c>
      <c r="N15" s="49"/>
    </row>
    <row r="16" spans="2:14" ht="18" x14ac:dyDescent="0.2">
      <c r="B16" s="51" t="s">
        <v>4</v>
      </c>
      <c r="C16" s="52"/>
      <c r="D16" s="52"/>
      <c r="E16" s="52"/>
      <c r="F16" s="52"/>
      <c r="G16" s="53"/>
      <c r="J16" s="62" t="s">
        <v>56</v>
      </c>
      <c r="K16" s="63"/>
      <c r="L16" s="63"/>
      <c r="M16" s="63"/>
      <c r="N16" s="64"/>
    </row>
    <row r="17" spans="2:14" ht="18" x14ac:dyDescent="0.2">
      <c r="B17" s="65" t="s">
        <v>3</v>
      </c>
      <c r="C17" s="66"/>
      <c r="D17" s="66"/>
      <c r="E17" s="66"/>
      <c r="F17" s="66"/>
      <c r="G17" s="67"/>
      <c r="J17" s="54" t="s">
        <v>42</v>
      </c>
      <c r="K17" s="55"/>
      <c r="L17" s="56"/>
      <c r="M17" s="57">
        <f>(E28/E9)</f>
        <v>3.291524381712589</v>
      </c>
      <c r="N17" s="57"/>
    </row>
    <row r="18" spans="2:14" ht="18" x14ac:dyDescent="0.2">
      <c r="B18" s="68" t="s">
        <v>7</v>
      </c>
      <c r="C18" s="69"/>
      <c r="D18" s="70"/>
      <c r="E18" s="71">
        <v>43462764000</v>
      </c>
      <c r="F18" s="72"/>
      <c r="G18" s="73"/>
      <c r="J18" s="58" t="s">
        <v>298</v>
      </c>
      <c r="K18" s="59"/>
      <c r="L18" s="60"/>
      <c r="M18" s="74">
        <f>(E56/M17)</f>
        <v>82.028862219613359</v>
      </c>
      <c r="N18" s="74"/>
    </row>
    <row r="19" spans="2:14" ht="18" x14ac:dyDescent="0.2">
      <c r="B19" s="51" t="s">
        <v>10</v>
      </c>
      <c r="C19" s="52"/>
      <c r="D19" s="52"/>
      <c r="E19" s="52"/>
      <c r="F19" s="52"/>
      <c r="G19" s="53"/>
      <c r="J19" s="54" t="s">
        <v>41</v>
      </c>
      <c r="K19" s="55"/>
      <c r="L19" s="56"/>
      <c r="M19" s="57">
        <f>(E27/E10)</f>
        <v>2.3206244726461125</v>
      </c>
      <c r="N19" s="57"/>
    </row>
    <row r="20" spans="2:14" ht="18" x14ac:dyDescent="0.2">
      <c r="B20" s="51" t="s">
        <v>9</v>
      </c>
      <c r="C20" s="52"/>
      <c r="D20" s="52"/>
      <c r="E20" s="52"/>
      <c r="F20" s="52"/>
      <c r="G20" s="53"/>
      <c r="J20" s="58" t="s">
        <v>299</v>
      </c>
      <c r="K20" s="59"/>
      <c r="L20" s="60"/>
      <c r="M20" s="61">
        <f>(E56/M19)</f>
        <v>116.34799304349752</v>
      </c>
      <c r="N20" s="61"/>
    </row>
    <row r="21" spans="2:14" ht="18" x14ac:dyDescent="0.2">
      <c r="B21" s="85" t="s">
        <v>18</v>
      </c>
      <c r="C21" s="86"/>
      <c r="D21" s="87"/>
      <c r="E21" s="78">
        <v>51374284000</v>
      </c>
      <c r="F21" s="79"/>
      <c r="G21" s="80"/>
      <c r="J21" s="54" t="s">
        <v>296</v>
      </c>
      <c r="K21" s="55"/>
      <c r="L21" s="56"/>
      <c r="M21" s="57"/>
      <c r="N21" s="57"/>
    </row>
    <row r="22" spans="2:14" ht="18" x14ac:dyDescent="0.2">
      <c r="B22" s="88" t="s">
        <v>20</v>
      </c>
      <c r="C22" s="89"/>
      <c r="D22" s="89"/>
      <c r="E22" s="89"/>
      <c r="F22" s="89"/>
      <c r="G22" s="90"/>
      <c r="J22" s="81" t="s">
        <v>295</v>
      </c>
      <c r="K22" s="82"/>
      <c r="L22" s="83"/>
      <c r="M22" s="61">
        <f>(M21/E56)</f>
        <v>0</v>
      </c>
      <c r="N22" s="61"/>
    </row>
    <row r="23" spans="2:14" ht="18" x14ac:dyDescent="0.2">
      <c r="B23" s="75" t="s">
        <v>19</v>
      </c>
      <c r="C23" s="76"/>
      <c r="D23" s="77"/>
      <c r="E23" s="78">
        <v>90032219000</v>
      </c>
      <c r="F23" s="79"/>
      <c r="G23" s="80"/>
      <c r="J23" s="81" t="s">
        <v>294</v>
      </c>
      <c r="K23" s="82"/>
      <c r="L23" s="83"/>
      <c r="M23" s="61">
        <f>M18+M20</f>
        <v>198.37685526311088</v>
      </c>
      <c r="N23" s="61"/>
    </row>
    <row r="24" spans="2:14" ht="18" x14ac:dyDescent="0.2">
      <c r="B24" s="75" t="s">
        <v>6</v>
      </c>
      <c r="C24" s="76"/>
      <c r="D24" s="77"/>
      <c r="E24" s="78">
        <f>(E21+E23)</f>
        <v>141406503000</v>
      </c>
      <c r="F24" s="79"/>
      <c r="G24" s="80"/>
      <c r="J24" s="81" t="s">
        <v>297</v>
      </c>
      <c r="K24" s="82"/>
      <c r="L24" s="83"/>
      <c r="M24" s="61">
        <f>((M18+M20)-M22)</f>
        <v>198.37685526311088</v>
      </c>
      <c r="N24" s="84"/>
    </row>
    <row r="25" spans="2:14" ht="18" x14ac:dyDescent="0.2">
      <c r="B25" s="75" t="s">
        <v>8</v>
      </c>
      <c r="C25" s="76"/>
      <c r="D25" s="77"/>
      <c r="E25" s="78">
        <f>(E18+E24)</f>
        <v>184869267000</v>
      </c>
      <c r="F25" s="79"/>
      <c r="G25" s="80"/>
      <c r="J25" s="58" t="s">
        <v>37</v>
      </c>
      <c r="K25" s="59"/>
      <c r="L25" s="60"/>
      <c r="M25" s="74">
        <f>(E27/E7)</f>
        <v>0.18136114755377336</v>
      </c>
      <c r="N25" s="74"/>
    </row>
    <row r="26" spans="2:14" ht="18" x14ac:dyDescent="0.2">
      <c r="B26" s="140" t="s">
        <v>62</v>
      </c>
      <c r="C26" s="141"/>
      <c r="D26" s="142"/>
      <c r="E26" s="18" t="str">
        <f>(E4)</f>
        <v>JUNE</v>
      </c>
      <c r="F26" s="17">
        <f>F4</f>
        <v>2024</v>
      </c>
      <c r="G26" s="17" t="str">
        <f>(G4)</f>
        <v>Q2</v>
      </c>
      <c r="J26" s="95" t="s">
        <v>36</v>
      </c>
      <c r="K26" s="96"/>
      <c r="L26" s="97"/>
      <c r="M26" s="74">
        <f>(E27/E14)</f>
        <v>0.62771474138861549</v>
      </c>
      <c r="N26" s="74"/>
    </row>
    <row r="27" spans="2:14" ht="18" x14ac:dyDescent="0.2">
      <c r="B27" s="91" t="s">
        <v>301</v>
      </c>
      <c r="C27" s="91"/>
      <c r="D27" s="91"/>
      <c r="E27" s="92">
        <v>26012497000</v>
      </c>
      <c r="F27" s="93"/>
      <c r="G27" s="94"/>
      <c r="J27" s="95" t="s">
        <v>35</v>
      </c>
      <c r="K27" s="96"/>
      <c r="L27" s="97"/>
      <c r="M27" s="98">
        <f>(E27/E15)</f>
        <v>0.14070752495600039</v>
      </c>
      <c r="N27" s="99"/>
    </row>
    <row r="28" spans="2:14" ht="18" x14ac:dyDescent="0.2">
      <c r="B28" s="91" t="s">
        <v>300</v>
      </c>
      <c r="C28" s="91"/>
      <c r="D28" s="91"/>
      <c r="E28" s="92">
        <v>22207994000</v>
      </c>
      <c r="F28" s="93"/>
      <c r="G28" s="94"/>
      <c r="J28" s="100" t="s">
        <v>44</v>
      </c>
      <c r="K28" s="101"/>
      <c r="L28" s="101"/>
      <c r="M28" s="101"/>
      <c r="N28" s="102"/>
    </row>
    <row r="29" spans="2:14" ht="18" x14ac:dyDescent="0.2">
      <c r="B29" s="109" t="s">
        <v>11</v>
      </c>
      <c r="C29" s="109"/>
      <c r="D29" s="109"/>
      <c r="E29" s="110">
        <f>(E27-E28)</f>
        <v>3804503000</v>
      </c>
      <c r="F29" s="111"/>
      <c r="G29" s="112"/>
      <c r="J29" s="24" t="s">
        <v>302</v>
      </c>
      <c r="K29" s="25"/>
      <c r="L29" s="26"/>
      <c r="M29" s="107">
        <f>(E29/E27)</f>
        <v>0.14625673959712518</v>
      </c>
      <c r="N29" s="108"/>
    </row>
    <row r="30" spans="2:14" ht="18" x14ac:dyDescent="0.2">
      <c r="B30" s="54" t="s">
        <v>304</v>
      </c>
      <c r="C30" s="55"/>
      <c r="D30" s="56"/>
      <c r="E30" s="92"/>
      <c r="F30" s="93"/>
      <c r="G30" s="94"/>
      <c r="J30" s="24" t="s">
        <v>45</v>
      </c>
      <c r="K30" s="25"/>
      <c r="L30" s="26"/>
      <c r="M30" s="107">
        <f>(E41/E15)</f>
        <v>0</v>
      </c>
      <c r="N30" s="108"/>
    </row>
    <row r="31" spans="2:14" ht="18" x14ac:dyDescent="0.2">
      <c r="B31" s="103" t="s">
        <v>12</v>
      </c>
      <c r="C31" s="103"/>
      <c r="D31" s="103"/>
      <c r="E31" s="104">
        <v>-293704000</v>
      </c>
      <c r="F31" s="105"/>
      <c r="G31" s="106"/>
      <c r="J31" s="24" t="s">
        <v>46</v>
      </c>
      <c r="K31" s="25"/>
      <c r="L31" s="26"/>
      <c r="M31" s="107">
        <f>(E41/E18)</f>
        <v>0</v>
      </c>
      <c r="N31" s="108"/>
    </row>
    <row r="32" spans="2:14" ht="18" x14ac:dyDescent="0.2">
      <c r="B32" s="103" t="s">
        <v>305</v>
      </c>
      <c r="C32" s="103"/>
      <c r="D32" s="103"/>
      <c r="E32" s="104"/>
      <c r="F32" s="105"/>
      <c r="G32" s="106"/>
      <c r="J32" s="24" t="s">
        <v>53</v>
      </c>
      <c r="K32" s="25"/>
      <c r="L32" s="26"/>
      <c r="M32" s="107">
        <f>(E44)</f>
        <v>1322885000</v>
      </c>
      <c r="N32" s="108"/>
    </row>
    <row r="33" spans="2:14" ht="18" x14ac:dyDescent="0.2">
      <c r="B33" s="103" t="s">
        <v>307</v>
      </c>
      <c r="C33" s="103"/>
      <c r="D33" s="103"/>
      <c r="E33" s="126">
        <v>2334846000</v>
      </c>
      <c r="F33" s="127"/>
      <c r="G33" s="128"/>
      <c r="J33" s="24" t="s">
        <v>303</v>
      </c>
      <c r="K33" s="25"/>
      <c r="L33" s="26"/>
      <c r="M33" s="107">
        <f>E41/E27</f>
        <v>0</v>
      </c>
      <c r="N33" s="108"/>
    </row>
    <row r="34" spans="2:14" ht="18" x14ac:dyDescent="0.2">
      <c r="B34" s="103" t="s">
        <v>14</v>
      </c>
      <c r="C34" s="103"/>
      <c r="D34" s="103"/>
      <c r="E34" s="104">
        <v>-591575000</v>
      </c>
      <c r="F34" s="105"/>
      <c r="G34" s="106"/>
      <c r="J34" s="129" t="s">
        <v>55</v>
      </c>
      <c r="K34" s="130"/>
      <c r="L34" s="130"/>
      <c r="M34" s="130"/>
      <c r="N34" s="131"/>
    </row>
    <row r="35" spans="2:14" ht="18" x14ac:dyDescent="0.2">
      <c r="B35" s="113" t="s">
        <v>306</v>
      </c>
      <c r="C35" s="113"/>
      <c r="D35" s="113"/>
      <c r="E35" s="114">
        <f>(E33-E34)</f>
        <v>2926421000</v>
      </c>
      <c r="F35" s="115"/>
      <c r="G35" s="116"/>
      <c r="J35" s="117" t="s">
        <v>47</v>
      </c>
      <c r="K35" s="118"/>
      <c r="L35" s="119"/>
      <c r="M35" s="120">
        <f>(E55/M32)</f>
        <v>2.6464885458675546E-8</v>
      </c>
      <c r="N35" s="121"/>
    </row>
    <row r="36" spans="2:14" ht="18" x14ac:dyDescent="0.2">
      <c r="B36" s="122" t="s">
        <v>30</v>
      </c>
      <c r="C36" s="122"/>
      <c r="D36" s="122"/>
      <c r="E36" s="123">
        <v>1589594000</v>
      </c>
      <c r="F36" s="124"/>
      <c r="G36" s="125"/>
      <c r="J36" s="117" t="s">
        <v>54</v>
      </c>
      <c r="K36" s="118"/>
      <c r="L36" s="119"/>
      <c r="M36" s="120">
        <f>((E15-E24)/E50)</f>
        <v>25.460422398216924</v>
      </c>
      <c r="N36" s="121"/>
    </row>
    <row r="37" spans="2:14" ht="18" x14ac:dyDescent="0.2">
      <c r="B37" s="122" t="s">
        <v>29</v>
      </c>
      <c r="C37" s="122"/>
      <c r="D37" s="122"/>
      <c r="E37" s="123">
        <f>(E35-E36)</f>
        <v>1336827000</v>
      </c>
      <c r="F37" s="124"/>
      <c r="G37" s="125"/>
      <c r="J37" s="117" t="s">
        <v>281</v>
      </c>
      <c r="K37" s="118"/>
      <c r="L37" s="119"/>
      <c r="M37" s="120">
        <f>(E51/M36)</f>
        <v>1.2961293211816902</v>
      </c>
      <c r="N37" s="121"/>
    </row>
    <row r="38" spans="2:14" ht="18" x14ac:dyDescent="0.2">
      <c r="B38" s="113" t="s">
        <v>13</v>
      </c>
      <c r="C38" s="113"/>
      <c r="D38" s="113"/>
      <c r="E38" s="123">
        <f>(E36/E50)</f>
        <v>0.93118179694395942</v>
      </c>
      <c r="F38" s="124"/>
      <c r="G38" s="125"/>
    </row>
    <row r="39" spans="2:14" ht="18" x14ac:dyDescent="0.2">
      <c r="B39" s="143" t="s">
        <v>28</v>
      </c>
      <c r="C39" s="144"/>
      <c r="D39" s="144"/>
      <c r="E39" s="144"/>
      <c r="F39" s="144"/>
      <c r="G39" s="145"/>
    </row>
    <row r="40" spans="2:14" ht="18" x14ac:dyDescent="0.2">
      <c r="B40" s="103" t="s">
        <v>23</v>
      </c>
      <c r="C40" s="103"/>
      <c r="D40" s="103"/>
      <c r="E40" s="104">
        <v>-79209000</v>
      </c>
      <c r="F40" s="105"/>
      <c r="G40" s="106"/>
    </row>
    <row r="41" spans="2:14" ht="18" x14ac:dyDescent="0.2">
      <c r="B41" s="95" t="s">
        <v>282</v>
      </c>
      <c r="C41" s="96"/>
      <c r="D41" s="97"/>
      <c r="E41" s="132"/>
      <c r="F41" s="133"/>
      <c r="G41" s="134"/>
    </row>
    <row r="42" spans="2:14" ht="18" x14ac:dyDescent="0.2">
      <c r="B42" s="113" t="s">
        <v>31</v>
      </c>
      <c r="C42" s="113"/>
      <c r="D42" s="113"/>
      <c r="E42" s="132">
        <f>(E35+(E40+E41))</f>
        <v>2847212000</v>
      </c>
      <c r="F42" s="133"/>
      <c r="G42" s="134"/>
    </row>
    <row r="43" spans="2:14" ht="18" x14ac:dyDescent="0.2">
      <c r="B43" s="103" t="s">
        <v>30</v>
      </c>
      <c r="C43" s="103"/>
      <c r="D43" s="103"/>
      <c r="E43" s="132">
        <v>1524327000</v>
      </c>
      <c r="F43" s="133"/>
      <c r="G43" s="134"/>
    </row>
    <row r="44" spans="2:14" ht="18" x14ac:dyDescent="0.2">
      <c r="B44" s="103" t="s">
        <v>29</v>
      </c>
      <c r="C44" s="103"/>
      <c r="D44" s="103"/>
      <c r="E44" s="132">
        <f>(E42-E43)</f>
        <v>1322885000</v>
      </c>
      <c r="F44" s="133"/>
      <c r="G44" s="134"/>
    </row>
    <row r="45" spans="2:14" ht="18" x14ac:dyDescent="0.2">
      <c r="B45" s="122" t="s">
        <v>31</v>
      </c>
      <c r="C45" s="122"/>
      <c r="D45" s="122"/>
      <c r="E45" s="132">
        <f>(E42)</f>
        <v>2847212000</v>
      </c>
      <c r="F45" s="133"/>
      <c r="G45" s="134"/>
    </row>
    <row r="46" spans="2:14" ht="18" x14ac:dyDescent="0.2">
      <c r="B46" s="146" t="s">
        <v>13</v>
      </c>
      <c r="C46" s="146"/>
      <c r="D46" s="146"/>
      <c r="E46" s="132">
        <f>(E43/E50)</f>
        <v>0.89294848558197559</v>
      </c>
      <c r="F46" s="133"/>
      <c r="G46" s="134"/>
    </row>
    <row r="49" spans="2:9" ht="15.6" customHeight="1" x14ac:dyDescent="0.15">
      <c r="B49" s="147" t="s">
        <v>283</v>
      </c>
      <c r="C49" s="147"/>
      <c r="D49" s="147"/>
      <c r="E49" s="147"/>
      <c r="F49" s="147"/>
      <c r="G49" s="147"/>
    </row>
    <row r="50" spans="2:9" ht="18" x14ac:dyDescent="0.2">
      <c r="B50" s="135" t="s">
        <v>33</v>
      </c>
      <c r="C50" s="135"/>
      <c r="D50" s="135"/>
      <c r="E50" s="148">
        <v>1707071600</v>
      </c>
      <c r="F50" s="148"/>
      <c r="G50" s="148"/>
    </row>
    <row r="51" spans="2:9" ht="18" x14ac:dyDescent="0.2">
      <c r="B51" s="135" t="s">
        <v>34</v>
      </c>
      <c r="C51" s="135"/>
      <c r="D51" s="135"/>
      <c r="E51" s="136">
        <v>33</v>
      </c>
      <c r="F51" s="136"/>
      <c r="G51" s="136"/>
    </row>
    <row r="52" spans="2:9" ht="15.6" customHeight="1" x14ac:dyDescent="0.2">
      <c r="B52" s="135" t="s">
        <v>32</v>
      </c>
      <c r="C52" s="135"/>
      <c r="D52" s="135"/>
      <c r="E52" s="149">
        <f>(E51*E50)</f>
        <v>56333362800</v>
      </c>
      <c r="F52" s="149"/>
      <c r="G52" s="149"/>
    </row>
    <row r="53" spans="2:9" ht="18" x14ac:dyDescent="0.2">
      <c r="B53" s="135" t="s">
        <v>57</v>
      </c>
      <c r="C53" s="135"/>
      <c r="D53" s="135"/>
      <c r="E53" s="136">
        <v>39.409999999999997</v>
      </c>
      <c r="F53" s="136"/>
      <c r="G53" s="136"/>
    </row>
    <row r="54" spans="2:9" ht="18" x14ac:dyDescent="0.2">
      <c r="B54" s="135" t="s">
        <v>58</v>
      </c>
      <c r="C54" s="135"/>
      <c r="D54" s="135"/>
      <c r="E54" s="136">
        <v>30.61</v>
      </c>
      <c r="F54" s="136"/>
      <c r="G54" s="136"/>
    </row>
    <row r="55" spans="2:9" ht="18" x14ac:dyDescent="0.2">
      <c r="B55" s="135" t="s">
        <v>59</v>
      </c>
      <c r="C55" s="135"/>
      <c r="D55" s="135"/>
      <c r="E55" s="136">
        <f>((E53+E54)/2)</f>
        <v>35.01</v>
      </c>
      <c r="F55" s="136"/>
      <c r="G55" s="136"/>
    </row>
    <row r="56" spans="2:9" ht="18" x14ac:dyDescent="0.2">
      <c r="B56" s="135" t="s">
        <v>63</v>
      </c>
      <c r="C56" s="135"/>
      <c r="D56" s="135"/>
      <c r="E56" s="136">
        <v>270</v>
      </c>
      <c r="F56" s="136"/>
      <c r="G56" s="136"/>
    </row>
    <row r="62" spans="2:9" x14ac:dyDescent="0.15">
      <c r="I62" s="2"/>
    </row>
    <row r="63" spans="2:9" x14ac:dyDescent="0.15">
      <c r="I63" s="2"/>
    </row>
    <row r="64" spans="2:9" x14ac:dyDescent="0.15">
      <c r="I64" s="2"/>
    </row>
    <row r="65" spans="9:9" x14ac:dyDescent="0.15">
      <c r="I65" s="2"/>
    </row>
  </sheetData>
  <mergeCells count="156">
    <mergeCell ref="B56:D56"/>
    <mergeCell ref="E56:G56"/>
    <mergeCell ref="B53:D53"/>
    <mergeCell ref="E53:G53"/>
    <mergeCell ref="B54:D54"/>
    <mergeCell ref="E54:G54"/>
    <mergeCell ref="B55:D55"/>
    <mergeCell ref="E55:G55"/>
    <mergeCell ref="B4:D4"/>
    <mergeCell ref="B26:D26"/>
    <mergeCell ref="B37:D37"/>
    <mergeCell ref="E37:G37"/>
    <mergeCell ref="B39:G39"/>
    <mergeCell ref="B45:D45"/>
    <mergeCell ref="E45:G45"/>
    <mergeCell ref="B46:D46"/>
    <mergeCell ref="E46:G46"/>
    <mergeCell ref="B44:D44"/>
    <mergeCell ref="E44:G44"/>
    <mergeCell ref="B49:G49"/>
    <mergeCell ref="B50:D50"/>
    <mergeCell ref="E50:G50"/>
    <mergeCell ref="B52:D52"/>
    <mergeCell ref="E52:G52"/>
    <mergeCell ref="B41:D41"/>
    <mergeCell ref="E41:G41"/>
    <mergeCell ref="B42:D42"/>
    <mergeCell ref="E42:G42"/>
    <mergeCell ref="B43:D43"/>
    <mergeCell ref="E43:G43"/>
    <mergeCell ref="B51:D51"/>
    <mergeCell ref="E51:G51"/>
    <mergeCell ref="B38:D38"/>
    <mergeCell ref="E38:G38"/>
    <mergeCell ref="B40:D40"/>
    <mergeCell ref="E40:G40"/>
    <mergeCell ref="B35:D35"/>
    <mergeCell ref="E35:G35"/>
    <mergeCell ref="J36:L36"/>
    <mergeCell ref="M36:N36"/>
    <mergeCell ref="B36:D36"/>
    <mergeCell ref="E36:G36"/>
    <mergeCell ref="J37:L37"/>
    <mergeCell ref="M37:N37"/>
    <mergeCell ref="B33:D33"/>
    <mergeCell ref="E33:G33"/>
    <mergeCell ref="J34:N34"/>
    <mergeCell ref="B34:D34"/>
    <mergeCell ref="E34:G34"/>
    <mergeCell ref="J35:L35"/>
    <mergeCell ref="M35:N35"/>
    <mergeCell ref="J33:L33"/>
    <mergeCell ref="M33:N33"/>
    <mergeCell ref="B31:D31"/>
    <mergeCell ref="E31:G31"/>
    <mergeCell ref="J31:L31"/>
    <mergeCell ref="M31:N31"/>
    <mergeCell ref="B32:D32"/>
    <mergeCell ref="E32:G32"/>
    <mergeCell ref="J32:L32"/>
    <mergeCell ref="M32:N32"/>
    <mergeCell ref="B29:D29"/>
    <mergeCell ref="E29:G29"/>
    <mergeCell ref="J29:L29"/>
    <mergeCell ref="M29:N29"/>
    <mergeCell ref="B30:D30"/>
    <mergeCell ref="E30:G30"/>
    <mergeCell ref="J30:L30"/>
    <mergeCell ref="M30:N30"/>
    <mergeCell ref="B27:D27"/>
    <mergeCell ref="E27:G27"/>
    <mergeCell ref="J27:L27"/>
    <mergeCell ref="M27:N27"/>
    <mergeCell ref="B28:D28"/>
    <mergeCell ref="E28:G28"/>
    <mergeCell ref="J28:N28"/>
    <mergeCell ref="B25:D25"/>
    <mergeCell ref="E25:G25"/>
    <mergeCell ref="J25:L25"/>
    <mergeCell ref="M25:N25"/>
    <mergeCell ref="J26:L26"/>
    <mergeCell ref="M26:N26"/>
    <mergeCell ref="B23:D23"/>
    <mergeCell ref="E23:G23"/>
    <mergeCell ref="J23:L23"/>
    <mergeCell ref="M23:N23"/>
    <mergeCell ref="B24:D24"/>
    <mergeCell ref="E24:G24"/>
    <mergeCell ref="J24:L24"/>
    <mergeCell ref="M24:N24"/>
    <mergeCell ref="B21:D21"/>
    <mergeCell ref="E21:G21"/>
    <mergeCell ref="J21:L21"/>
    <mergeCell ref="M21:N21"/>
    <mergeCell ref="B22:G22"/>
    <mergeCell ref="J22:L22"/>
    <mergeCell ref="M22:N22"/>
    <mergeCell ref="B19:G19"/>
    <mergeCell ref="J19:L19"/>
    <mergeCell ref="M19:N19"/>
    <mergeCell ref="B20:G20"/>
    <mergeCell ref="J20:L20"/>
    <mergeCell ref="M20:N20"/>
    <mergeCell ref="B16:G16"/>
    <mergeCell ref="J16:N16"/>
    <mergeCell ref="B17:G17"/>
    <mergeCell ref="J17:L17"/>
    <mergeCell ref="M17:N17"/>
    <mergeCell ref="B18:D18"/>
    <mergeCell ref="E18:G18"/>
    <mergeCell ref="J18:L18"/>
    <mergeCell ref="M18:N18"/>
    <mergeCell ref="B14:D14"/>
    <mergeCell ref="E14:G14"/>
    <mergeCell ref="J14:L14"/>
    <mergeCell ref="M14:N14"/>
    <mergeCell ref="B15:D15"/>
    <mergeCell ref="E15:G15"/>
    <mergeCell ref="J15:L15"/>
    <mergeCell ref="M15:N15"/>
    <mergeCell ref="B12:D12"/>
    <mergeCell ref="E12:G12"/>
    <mergeCell ref="J12:L12"/>
    <mergeCell ref="M12:N12"/>
    <mergeCell ref="B13:D13"/>
    <mergeCell ref="E13:G13"/>
    <mergeCell ref="J13:L13"/>
    <mergeCell ref="M13:N13"/>
    <mergeCell ref="B10:D10"/>
    <mergeCell ref="E10:G10"/>
    <mergeCell ref="J10:N10"/>
    <mergeCell ref="B11:D11"/>
    <mergeCell ref="E11:G11"/>
    <mergeCell ref="J11:L11"/>
    <mergeCell ref="M11:N11"/>
    <mergeCell ref="B8:G8"/>
    <mergeCell ref="J8:L8"/>
    <mergeCell ref="M8:N8"/>
    <mergeCell ref="B9:D9"/>
    <mergeCell ref="E9:G9"/>
    <mergeCell ref="J9:L9"/>
    <mergeCell ref="M9:N9"/>
    <mergeCell ref="B6:G6"/>
    <mergeCell ref="J6:L6"/>
    <mergeCell ref="M6:N6"/>
    <mergeCell ref="B7:D7"/>
    <mergeCell ref="E7:G7"/>
    <mergeCell ref="J7:L7"/>
    <mergeCell ref="M7:N7"/>
    <mergeCell ref="J3:N3"/>
    <mergeCell ref="J4:L4"/>
    <mergeCell ref="M4:N4"/>
    <mergeCell ref="B5:G5"/>
    <mergeCell ref="J5:L5"/>
    <mergeCell ref="M5:N5"/>
    <mergeCell ref="D3:G3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5B43B12-6F4E-47DD-8DF3-29AA177B6B7D}">
          <x14:formula1>
            <xm:f>SOURCE!$G$3:$G$104</xm:f>
          </x14:formula1>
          <xm:sqref>C3</xm:sqref>
        </x14:dataValidation>
        <x14:dataValidation type="list" allowBlank="1" showInputMessage="1" showErrorMessage="1" xr:uid="{6BF18127-08F4-4610-93F0-4794D6D94423}">
          <x14:formula1>
            <xm:f>SOURCE!$B$3:$B$6</xm:f>
          </x14:formula1>
          <xm:sqref>E4</xm:sqref>
        </x14:dataValidation>
        <x14:dataValidation type="list" allowBlank="1" showInputMessage="1" showErrorMessage="1" xr:uid="{5D89E9D0-C708-4626-B0F0-C08D56BC4BA5}">
          <x14:formula1>
            <xm:f>SOURCE!$C$3:$C$9</xm:f>
          </x14:formula1>
          <xm:sqref>G4</xm:sqref>
        </x14:dataValidation>
        <x14:dataValidation type="list" allowBlank="1" showInputMessage="1" showErrorMessage="1" xr:uid="{F5A630E8-2A39-439F-8EE0-F9CED309FBFE}">
          <x14:formula1>
            <xm:f>SOURCE!$J$3:$J$4</xm:f>
          </x14:formula1>
          <xm:sqref>B4</xm:sqref>
        </x14:dataValidation>
        <x14:dataValidation type="list" allowBlank="1" showInputMessage="1" showErrorMessage="1" xr:uid="{D2F8B2E8-9DE3-4655-B219-89EF9F6330DC}">
          <x14:formula1>
            <xm:f>SOURCE!$E$3:$E$38</xm:f>
          </x14:formula1>
          <xm:sqref>F4</xm:sqref>
        </x14:dataValidation>
        <x14:dataValidation type="list" allowBlank="1" showInputMessage="1" showErrorMessage="1" xr:uid="{2909229B-BA45-4A5E-BE7C-E71FD3995219}">
          <x14:formula1>
            <xm:f>SOURCE!$C$14:$C$17</xm:f>
          </x14:formula1>
          <xm:sqref>E56:G56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4247-1C54-4B80-AE5C-E0FA9F095F37}">
  <dimension ref="B3:N65"/>
  <sheetViews>
    <sheetView topLeftCell="A4" zoomScale="85" zoomScaleNormal="85" workbookViewId="0">
      <selection activeCell="E56" sqref="E56:G56"/>
    </sheetView>
  </sheetViews>
  <sheetFormatPr defaultRowHeight="13.5" x14ac:dyDescent="0.15"/>
  <cols>
    <col min="1" max="1" width="12.2578125" customWidth="1"/>
    <col min="2" max="2" width="12.13671875" bestFit="1" customWidth="1"/>
    <col min="3" max="3" width="8.82421875" customWidth="1"/>
    <col min="4" max="4" width="20.10546875" customWidth="1"/>
    <col min="5" max="6" width="9.8046875" bestFit="1" customWidth="1"/>
    <col min="7" max="8" width="10.54296875" bestFit="1" customWidth="1"/>
    <col min="9" max="9" width="9.68359375" customWidth="1"/>
    <col min="10" max="10" width="12.01171875" customWidth="1"/>
    <col min="11" max="11" width="9.8046875" customWidth="1"/>
    <col min="12" max="12" width="13.359375" customWidth="1"/>
    <col min="14" max="14" width="16.546875" customWidth="1"/>
    <col min="15" max="15" width="12.13671875" customWidth="1"/>
    <col min="16" max="16" width="9.31640625" customWidth="1"/>
    <col min="18" max="18" width="9.31640625" customWidth="1"/>
    <col min="19" max="19" width="8.82421875" customWidth="1"/>
  </cols>
  <sheetData>
    <row r="3" spans="2:14" ht="18" x14ac:dyDescent="0.2">
      <c r="B3" s="1" t="s">
        <v>1</v>
      </c>
      <c r="C3" s="15" t="s">
        <v>252</v>
      </c>
      <c r="D3" s="37" t="str">
        <f>VLOOKUP(C3,SOURCE!$G$3:$H$104,2,FALSE)</f>
        <v>سيدى كرير للبتروكيماويات - سيدبك</v>
      </c>
      <c r="E3" s="37"/>
      <c r="F3" s="37"/>
      <c r="G3" s="37"/>
      <c r="J3" s="34" t="s">
        <v>43</v>
      </c>
      <c r="K3" s="35"/>
      <c r="L3" s="35"/>
      <c r="M3" s="35"/>
      <c r="N3" s="36"/>
    </row>
    <row r="4" spans="2:14" ht="18" x14ac:dyDescent="0.2">
      <c r="B4" s="137" t="s">
        <v>60</v>
      </c>
      <c r="C4" s="138"/>
      <c r="D4" s="139"/>
      <c r="E4" s="18" t="s">
        <v>64</v>
      </c>
      <c r="F4" s="3">
        <v>2024</v>
      </c>
      <c r="G4" s="17" t="s">
        <v>61</v>
      </c>
      <c r="J4" s="24" t="s">
        <v>279</v>
      </c>
      <c r="K4" s="25"/>
      <c r="L4" s="26"/>
      <c r="M4" s="27">
        <f>(E14/E23)</f>
        <v>1.2308030481271859</v>
      </c>
      <c r="N4" s="27"/>
    </row>
    <row r="5" spans="2:14" ht="18" x14ac:dyDescent="0.2">
      <c r="B5" s="21" t="s">
        <v>22</v>
      </c>
      <c r="C5" s="22"/>
      <c r="D5" s="22"/>
      <c r="E5" s="22"/>
      <c r="F5" s="22"/>
      <c r="G5" s="23"/>
      <c r="J5" s="24" t="s">
        <v>50</v>
      </c>
      <c r="K5" s="25"/>
      <c r="L5" s="26"/>
      <c r="M5" s="27">
        <f>((E14-E9)/E23)</f>
        <v>0.94921422196206107</v>
      </c>
      <c r="N5" s="27"/>
    </row>
    <row r="6" spans="2:14" ht="18" x14ac:dyDescent="0.2">
      <c r="B6" s="21" t="s">
        <v>21</v>
      </c>
      <c r="C6" s="22"/>
      <c r="D6" s="22"/>
      <c r="E6" s="22"/>
      <c r="F6" s="22"/>
      <c r="G6" s="23"/>
      <c r="J6" s="24" t="s">
        <v>51</v>
      </c>
      <c r="K6" s="25"/>
      <c r="L6" s="26"/>
      <c r="M6" s="27">
        <f>((E14-E10)/E23)</f>
        <v>0.93661876721523774</v>
      </c>
      <c r="N6" s="27"/>
    </row>
    <row r="7" spans="2:14" ht="18" x14ac:dyDescent="0.2">
      <c r="B7" s="28" t="s">
        <v>16</v>
      </c>
      <c r="C7" s="29"/>
      <c r="D7" s="30"/>
      <c r="E7" s="159">
        <v>14374014000</v>
      </c>
      <c r="F7" s="160"/>
      <c r="G7" s="161"/>
      <c r="J7" s="24" t="s">
        <v>52</v>
      </c>
      <c r="K7" s="25"/>
      <c r="L7" s="26"/>
      <c r="M7" s="27">
        <f>(E12/E23)</f>
        <v>0.27753068062690917</v>
      </c>
      <c r="N7" s="27"/>
    </row>
    <row r="8" spans="2:14" ht="18" x14ac:dyDescent="0.2">
      <c r="B8" s="45" t="s">
        <v>15</v>
      </c>
      <c r="C8" s="46"/>
      <c r="D8" s="46"/>
      <c r="E8" s="46"/>
      <c r="F8" s="46"/>
      <c r="G8" s="47"/>
      <c r="J8" s="24" t="s">
        <v>291</v>
      </c>
      <c r="K8" s="25"/>
      <c r="L8" s="26"/>
      <c r="M8" s="174">
        <f>(E14-E23)</f>
        <v>8794259000</v>
      </c>
      <c r="N8" s="174"/>
    </row>
    <row r="9" spans="2:14" ht="18" x14ac:dyDescent="0.2">
      <c r="B9" s="24" t="s">
        <v>2</v>
      </c>
      <c r="C9" s="25"/>
      <c r="D9" s="26"/>
      <c r="E9" s="159">
        <v>10729343000</v>
      </c>
      <c r="F9" s="160"/>
      <c r="G9" s="161"/>
      <c r="J9" s="24" t="s">
        <v>292</v>
      </c>
      <c r="K9" s="25"/>
      <c r="L9" s="26"/>
      <c r="M9" s="27">
        <f>(M8/E23)</f>
        <v>0.2308030481271858</v>
      </c>
      <c r="N9" s="27"/>
    </row>
    <row r="10" spans="2:14" ht="18" x14ac:dyDescent="0.2">
      <c r="B10" s="24" t="s">
        <v>26</v>
      </c>
      <c r="C10" s="25"/>
      <c r="D10" s="26"/>
      <c r="E10" s="159">
        <v>11209266000</v>
      </c>
      <c r="F10" s="160"/>
      <c r="G10" s="161"/>
      <c r="J10" s="38" t="s">
        <v>38</v>
      </c>
      <c r="K10" s="39"/>
      <c r="L10" s="39"/>
      <c r="M10" s="39"/>
      <c r="N10" s="40"/>
    </row>
    <row r="11" spans="2:14" ht="18" x14ac:dyDescent="0.2">
      <c r="B11" s="24" t="s">
        <v>27</v>
      </c>
      <c r="C11" s="25"/>
      <c r="D11" s="26"/>
      <c r="E11" s="159">
        <v>8775293000</v>
      </c>
      <c r="F11" s="160"/>
      <c r="G11" s="161"/>
      <c r="J11" s="41" t="s">
        <v>48</v>
      </c>
      <c r="K11" s="42"/>
      <c r="L11" s="43"/>
      <c r="M11" s="44">
        <f>(E24/E15)</f>
        <v>0.70039884190184465</v>
      </c>
      <c r="N11" s="44"/>
    </row>
    <row r="12" spans="2:14" ht="18" x14ac:dyDescent="0.2">
      <c r="B12" s="24" t="s">
        <v>25</v>
      </c>
      <c r="C12" s="25"/>
      <c r="D12" s="26"/>
      <c r="E12" s="159">
        <v>10574716000</v>
      </c>
      <c r="F12" s="160"/>
      <c r="G12" s="161"/>
      <c r="J12" s="41" t="s">
        <v>39</v>
      </c>
      <c r="K12" s="42"/>
      <c r="L12" s="43"/>
      <c r="M12" s="50">
        <f>(E24/E18)</f>
        <v>2.3377709368763417</v>
      </c>
      <c r="N12" s="50"/>
    </row>
    <row r="13" spans="2:14" ht="18" x14ac:dyDescent="0.2">
      <c r="B13" s="24" t="s">
        <v>24</v>
      </c>
      <c r="C13" s="25"/>
      <c r="D13" s="26"/>
      <c r="E13" s="159"/>
      <c r="F13" s="160"/>
      <c r="G13" s="161"/>
      <c r="J13" s="41" t="s">
        <v>293</v>
      </c>
      <c r="K13" s="42"/>
      <c r="L13" s="43"/>
      <c r="M13" s="50">
        <f>(E23/E18)</f>
        <v>2.0756697275493883</v>
      </c>
      <c r="N13" s="50"/>
    </row>
    <row r="14" spans="2:14" ht="18" x14ac:dyDescent="0.2">
      <c r="B14" s="28" t="s">
        <v>17</v>
      </c>
      <c r="C14" s="29"/>
      <c r="D14" s="30"/>
      <c r="E14" s="159">
        <v>46897131000</v>
      </c>
      <c r="F14" s="160"/>
      <c r="G14" s="161"/>
      <c r="J14" s="41" t="s">
        <v>40</v>
      </c>
      <c r="K14" s="42"/>
      <c r="L14" s="43"/>
      <c r="M14" s="49">
        <f>(E18/E7)</f>
        <v>1.2770896842037305</v>
      </c>
      <c r="N14" s="49"/>
    </row>
    <row r="15" spans="2:14" ht="18" x14ac:dyDescent="0.2">
      <c r="B15" s="28" t="s">
        <v>5</v>
      </c>
      <c r="C15" s="29"/>
      <c r="D15" s="30"/>
      <c r="E15" s="159">
        <f>(E7+E14)</f>
        <v>61271145000</v>
      </c>
      <c r="F15" s="160"/>
      <c r="G15" s="161"/>
      <c r="J15" s="41" t="s">
        <v>49</v>
      </c>
      <c r="K15" s="42"/>
      <c r="L15" s="43"/>
      <c r="M15" s="49">
        <f>(E33/E31)</f>
        <v>-7.9496567973197507</v>
      </c>
      <c r="N15" s="49"/>
    </row>
    <row r="16" spans="2:14" ht="18" x14ac:dyDescent="0.2">
      <c r="B16" s="51" t="s">
        <v>4</v>
      </c>
      <c r="C16" s="52"/>
      <c r="D16" s="52"/>
      <c r="E16" s="52"/>
      <c r="F16" s="52"/>
      <c r="G16" s="53"/>
      <c r="J16" s="62" t="s">
        <v>56</v>
      </c>
      <c r="K16" s="63"/>
      <c r="L16" s="63"/>
      <c r="M16" s="63"/>
      <c r="N16" s="64"/>
    </row>
    <row r="17" spans="2:14" ht="18" x14ac:dyDescent="0.2">
      <c r="B17" s="65" t="s">
        <v>3</v>
      </c>
      <c r="C17" s="66"/>
      <c r="D17" s="66"/>
      <c r="E17" s="66"/>
      <c r="F17" s="66"/>
      <c r="G17" s="67"/>
      <c r="J17" s="54" t="s">
        <v>42</v>
      </c>
      <c r="K17" s="55"/>
      <c r="L17" s="56"/>
      <c r="M17" s="57">
        <f>(E28/E9)</f>
        <v>2.069837267761875</v>
      </c>
      <c r="N17" s="57"/>
    </row>
    <row r="18" spans="2:14" ht="18" x14ac:dyDescent="0.2">
      <c r="B18" s="68" t="s">
        <v>7</v>
      </c>
      <c r="C18" s="69"/>
      <c r="D18" s="70"/>
      <c r="E18" s="156">
        <v>18356905000</v>
      </c>
      <c r="F18" s="157"/>
      <c r="G18" s="158"/>
      <c r="J18" s="58" t="s">
        <v>298</v>
      </c>
      <c r="K18" s="59"/>
      <c r="L18" s="60"/>
      <c r="M18" s="74">
        <f>(E56/M17)</f>
        <v>43.481679164718798</v>
      </c>
      <c r="N18" s="74"/>
    </row>
    <row r="19" spans="2:14" ht="18" x14ac:dyDescent="0.2">
      <c r="B19" s="51" t="s">
        <v>10</v>
      </c>
      <c r="C19" s="52"/>
      <c r="D19" s="52"/>
      <c r="E19" s="52"/>
      <c r="F19" s="52"/>
      <c r="G19" s="53"/>
      <c r="J19" s="54" t="s">
        <v>41</v>
      </c>
      <c r="K19" s="55"/>
      <c r="L19" s="56"/>
      <c r="M19" s="57">
        <f>(E27/E10)</f>
        <v>2.3206244726461125</v>
      </c>
      <c r="N19" s="57"/>
    </row>
    <row r="20" spans="2:14" ht="18" x14ac:dyDescent="0.2">
      <c r="B20" s="51" t="s">
        <v>9</v>
      </c>
      <c r="C20" s="52"/>
      <c r="D20" s="52"/>
      <c r="E20" s="52"/>
      <c r="F20" s="52"/>
      <c r="G20" s="53"/>
      <c r="J20" s="58" t="s">
        <v>299</v>
      </c>
      <c r="K20" s="59"/>
      <c r="L20" s="60"/>
      <c r="M20" s="61">
        <f>(E56/M19)</f>
        <v>38.782664347832508</v>
      </c>
      <c r="N20" s="61"/>
    </row>
    <row r="21" spans="2:14" ht="18" x14ac:dyDescent="0.2">
      <c r="B21" s="85" t="s">
        <v>18</v>
      </c>
      <c r="C21" s="86"/>
      <c r="D21" s="87"/>
      <c r="E21" s="153">
        <v>4811367000</v>
      </c>
      <c r="F21" s="154"/>
      <c r="G21" s="155"/>
      <c r="J21" s="54" t="s">
        <v>296</v>
      </c>
      <c r="K21" s="55"/>
      <c r="L21" s="56"/>
      <c r="M21" s="57"/>
      <c r="N21" s="57"/>
    </row>
    <row r="22" spans="2:14" ht="18" x14ac:dyDescent="0.2">
      <c r="B22" s="88" t="s">
        <v>20</v>
      </c>
      <c r="C22" s="89"/>
      <c r="D22" s="89"/>
      <c r="E22" s="89"/>
      <c r="F22" s="89"/>
      <c r="G22" s="90"/>
      <c r="J22" s="81" t="s">
        <v>295</v>
      </c>
      <c r="K22" s="82"/>
      <c r="L22" s="83"/>
      <c r="M22" s="61">
        <f>(M21/E56)</f>
        <v>0</v>
      </c>
      <c r="N22" s="61"/>
    </row>
    <row r="23" spans="2:14" ht="18" x14ac:dyDescent="0.2">
      <c r="B23" s="75" t="s">
        <v>19</v>
      </c>
      <c r="C23" s="76"/>
      <c r="D23" s="77"/>
      <c r="E23" s="153">
        <v>38102872000</v>
      </c>
      <c r="F23" s="154"/>
      <c r="G23" s="155"/>
      <c r="J23" s="81" t="s">
        <v>294</v>
      </c>
      <c r="K23" s="82"/>
      <c r="L23" s="83"/>
      <c r="M23" s="61">
        <f>M18+M20</f>
        <v>82.264343512551307</v>
      </c>
      <c r="N23" s="61"/>
    </row>
    <row r="24" spans="2:14" ht="18" x14ac:dyDescent="0.2">
      <c r="B24" s="75" t="s">
        <v>6</v>
      </c>
      <c r="C24" s="76"/>
      <c r="D24" s="77"/>
      <c r="E24" s="153">
        <f>(E21+E23)</f>
        <v>42914239000</v>
      </c>
      <c r="F24" s="154"/>
      <c r="G24" s="155"/>
      <c r="J24" s="81" t="s">
        <v>297</v>
      </c>
      <c r="K24" s="82"/>
      <c r="L24" s="83"/>
      <c r="M24" s="61">
        <f>((M18+M20)-M22)</f>
        <v>82.264343512551307</v>
      </c>
      <c r="N24" s="84"/>
    </row>
    <row r="25" spans="2:14" ht="18" x14ac:dyDescent="0.2">
      <c r="B25" s="75" t="s">
        <v>8</v>
      </c>
      <c r="C25" s="76"/>
      <c r="D25" s="77"/>
      <c r="E25" s="153">
        <f>(E18+E24)</f>
        <v>61271144000</v>
      </c>
      <c r="F25" s="154"/>
      <c r="G25" s="155"/>
      <c r="J25" s="58" t="s">
        <v>37</v>
      </c>
      <c r="K25" s="59"/>
      <c r="L25" s="60"/>
      <c r="M25" s="74">
        <f>(E27/E7)</f>
        <v>1.8096891376340667</v>
      </c>
      <c r="N25" s="74"/>
    </row>
    <row r="26" spans="2:14" ht="18" x14ac:dyDescent="0.2">
      <c r="B26" s="140" t="s">
        <v>62</v>
      </c>
      <c r="C26" s="141"/>
      <c r="D26" s="142"/>
      <c r="E26" s="18" t="str">
        <f>(E4)</f>
        <v>JUNE</v>
      </c>
      <c r="F26" s="17">
        <f>F4</f>
        <v>2024</v>
      </c>
      <c r="G26" s="17" t="str">
        <f>(G4)</f>
        <v>H1</v>
      </c>
      <c r="J26" s="95" t="s">
        <v>36</v>
      </c>
      <c r="K26" s="96"/>
      <c r="L26" s="97"/>
      <c r="M26" s="74">
        <f>(E27/E14)</f>
        <v>0.55467139343769234</v>
      </c>
      <c r="N26" s="74"/>
    </row>
    <row r="27" spans="2:14" ht="18" x14ac:dyDescent="0.2">
      <c r="B27" s="91" t="s">
        <v>301</v>
      </c>
      <c r="C27" s="91"/>
      <c r="D27" s="91"/>
      <c r="E27" s="92">
        <v>26012497000</v>
      </c>
      <c r="F27" s="93"/>
      <c r="G27" s="94"/>
      <c r="J27" s="95" t="s">
        <v>35</v>
      </c>
      <c r="K27" s="96"/>
      <c r="L27" s="97"/>
      <c r="M27" s="74">
        <f>(E27/E15)</f>
        <v>0.42454726445866159</v>
      </c>
      <c r="N27" s="74"/>
    </row>
    <row r="28" spans="2:14" ht="18" x14ac:dyDescent="0.2">
      <c r="B28" s="91" t="s">
        <v>300</v>
      </c>
      <c r="C28" s="91"/>
      <c r="D28" s="91"/>
      <c r="E28" s="92">
        <v>22207994000</v>
      </c>
      <c r="F28" s="93"/>
      <c r="G28" s="94"/>
      <c r="J28" s="100" t="s">
        <v>44</v>
      </c>
      <c r="K28" s="101"/>
      <c r="L28" s="101"/>
      <c r="M28" s="101"/>
      <c r="N28" s="102"/>
    </row>
    <row r="29" spans="2:14" ht="18" x14ac:dyDescent="0.2">
      <c r="B29" s="109" t="s">
        <v>11</v>
      </c>
      <c r="C29" s="109"/>
      <c r="D29" s="109"/>
      <c r="E29" s="110">
        <f>(E27-E28)</f>
        <v>3804503000</v>
      </c>
      <c r="F29" s="111"/>
      <c r="G29" s="112"/>
      <c r="J29" s="24" t="s">
        <v>302</v>
      </c>
      <c r="K29" s="25"/>
      <c r="L29" s="26"/>
      <c r="M29" s="107">
        <f>(E29/E27)</f>
        <v>0.14625673959712518</v>
      </c>
      <c r="N29" s="108"/>
    </row>
    <row r="30" spans="2:14" ht="18" x14ac:dyDescent="0.2">
      <c r="B30" s="54" t="s">
        <v>304</v>
      </c>
      <c r="C30" s="55"/>
      <c r="D30" s="56"/>
      <c r="E30" s="92"/>
      <c r="F30" s="93"/>
      <c r="G30" s="94"/>
      <c r="J30" s="24" t="s">
        <v>45</v>
      </c>
      <c r="K30" s="25"/>
      <c r="L30" s="26"/>
      <c r="M30" s="107">
        <f>(E43/E15)</f>
        <v>2.4878382801561811E-2</v>
      </c>
      <c r="N30" s="108"/>
    </row>
    <row r="31" spans="2:14" ht="18" x14ac:dyDescent="0.2">
      <c r="B31" s="103" t="s">
        <v>12</v>
      </c>
      <c r="C31" s="103"/>
      <c r="D31" s="103"/>
      <c r="E31" s="104">
        <v>-293704000</v>
      </c>
      <c r="F31" s="105"/>
      <c r="G31" s="106"/>
      <c r="J31" s="24" t="s">
        <v>46</v>
      </c>
      <c r="K31" s="25"/>
      <c r="L31" s="26"/>
      <c r="M31" s="107">
        <f>(E43/E18)</f>
        <v>8.3038344426797431E-2</v>
      </c>
      <c r="N31" s="108"/>
    </row>
    <row r="32" spans="2:14" ht="18" x14ac:dyDescent="0.2">
      <c r="B32" s="103" t="s">
        <v>305</v>
      </c>
      <c r="C32" s="103"/>
      <c r="D32" s="103"/>
      <c r="E32" s="104"/>
      <c r="F32" s="105"/>
      <c r="G32" s="106"/>
      <c r="J32" s="24" t="s">
        <v>53</v>
      </c>
      <c r="K32" s="25"/>
      <c r="L32" s="26"/>
      <c r="M32" s="107">
        <f>(E46)</f>
        <v>0.69789440430733729</v>
      </c>
      <c r="N32" s="108"/>
    </row>
    <row r="33" spans="2:14" ht="18" x14ac:dyDescent="0.2">
      <c r="B33" s="103" t="s">
        <v>307</v>
      </c>
      <c r="C33" s="103"/>
      <c r="D33" s="103"/>
      <c r="E33" s="126">
        <v>2334846000</v>
      </c>
      <c r="F33" s="127"/>
      <c r="G33" s="128"/>
      <c r="J33" s="24" t="s">
        <v>303</v>
      </c>
      <c r="K33" s="25"/>
      <c r="L33" s="26"/>
      <c r="M33" s="107">
        <f>E43/E27</f>
        <v>5.8599795321456455E-2</v>
      </c>
      <c r="N33" s="108"/>
    </row>
    <row r="34" spans="2:14" ht="18" x14ac:dyDescent="0.2">
      <c r="B34" s="103" t="s">
        <v>14</v>
      </c>
      <c r="C34" s="103"/>
      <c r="D34" s="103"/>
      <c r="E34" s="104">
        <v>-591575000</v>
      </c>
      <c r="F34" s="105"/>
      <c r="G34" s="106"/>
      <c r="J34" s="129" t="s">
        <v>55</v>
      </c>
      <c r="K34" s="130"/>
      <c r="L34" s="130"/>
      <c r="M34" s="130"/>
      <c r="N34" s="131"/>
    </row>
    <row r="35" spans="2:14" ht="18" x14ac:dyDescent="0.2">
      <c r="B35" s="113" t="s">
        <v>306</v>
      </c>
      <c r="C35" s="113"/>
      <c r="D35" s="113"/>
      <c r="E35" s="114">
        <f>(E33-E34)</f>
        <v>2926421000</v>
      </c>
      <c r="F35" s="115"/>
      <c r="G35" s="116"/>
      <c r="J35" s="117" t="s">
        <v>47</v>
      </c>
      <c r="K35" s="118"/>
      <c r="L35" s="119"/>
      <c r="M35" s="120">
        <f>(E55/M32)</f>
        <v>0</v>
      </c>
      <c r="N35" s="121"/>
    </row>
    <row r="36" spans="2:14" ht="18" x14ac:dyDescent="0.2">
      <c r="B36" s="122" t="s">
        <v>30</v>
      </c>
      <c r="C36" s="122"/>
      <c r="D36" s="122"/>
      <c r="E36" s="123">
        <v>1589594000</v>
      </c>
      <c r="F36" s="124"/>
      <c r="G36" s="125"/>
      <c r="J36" s="117" t="s">
        <v>54</v>
      </c>
      <c r="K36" s="118"/>
      <c r="L36" s="119"/>
      <c r="M36" s="120">
        <f>((E15-E24)/E50)</f>
        <v>8.4044840626688284</v>
      </c>
      <c r="N36" s="121"/>
    </row>
    <row r="37" spans="2:14" ht="18" x14ac:dyDescent="0.2">
      <c r="B37" s="122" t="s">
        <v>29</v>
      </c>
      <c r="C37" s="122"/>
      <c r="D37" s="122"/>
      <c r="E37" s="123">
        <f>(E35-E36)</f>
        <v>1336827000</v>
      </c>
      <c r="F37" s="124"/>
      <c r="G37" s="125"/>
      <c r="J37" s="117" t="s">
        <v>281</v>
      </c>
      <c r="K37" s="118"/>
      <c r="L37" s="119"/>
      <c r="M37" s="120">
        <f>(E51/M36)</f>
        <v>0.89238077484299361</v>
      </c>
      <c r="N37" s="121"/>
    </row>
    <row r="38" spans="2:14" ht="18" x14ac:dyDescent="0.2">
      <c r="B38" s="113" t="s">
        <v>13</v>
      </c>
      <c r="C38" s="113"/>
      <c r="D38" s="113"/>
      <c r="E38" s="123">
        <f>(E36/E50)</f>
        <v>0.7277760990394565</v>
      </c>
      <c r="F38" s="124"/>
      <c r="G38" s="125"/>
    </row>
    <row r="39" spans="2:14" ht="18" x14ac:dyDescent="0.2">
      <c r="B39" s="143" t="s">
        <v>28</v>
      </c>
      <c r="C39" s="144"/>
      <c r="D39" s="144"/>
      <c r="E39" s="144"/>
      <c r="F39" s="144"/>
      <c r="G39" s="145"/>
    </row>
    <row r="40" spans="2:14" ht="18" x14ac:dyDescent="0.2">
      <c r="B40" s="103" t="s">
        <v>23</v>
      </c>
      <c r="C40" s="103"/>
      <c r="D40" s="103"/>
      <c r="E40" s="104">
        <v>-79209000</v>
      </c>
      <c r="F40" s="105"/>
      <c r="G40" s="106"/>
    </row>
    <row r="41" spans="2:14" ht="18" x14ac:dyDescent="0.2">
      <c r="B41" s="95" t="s">
        <v>282</v>
      </c>
      <c r="C41" s="96"/>
      <c r="D41" s="97"/>
      <c r="E41" s="132"/>
      <c r="F41" s="133"/>
      <c r="G41" s="134"/>
    </row>
    <row r="42" spans="2:14" ht="18" x14ac:dyDescent="0.2">
      <c r="B42" s="113" t="s">
        <v>31</v>
      </c>
      <c r="C42" s="113"/>
      <c r="D42" s="113"/>
      <c r="E42" s="132">
        <f>(E35+(E40+E41))</f>
        <v>2847212000</v>
      </c>
      <c r="F42" s="133"/>
      <c r="G42" s="134"/>
    </row>
    <row r="43" spans="2:14" ht="18" x14ac:dyDescent="0.2">
      <c r="B43" s="103" t="s">
        <v>30</v>
      </c>
      <c r="C43" s="103"/>
      <c r="D43" s="103"/>
      <c r="E43" s="132">
        <v>1524327000</v>
      </c>
      <c r="F43" s="133"/>
      <c r="G43" s="134"/>
    </row>
    <row r="44" spans="2:14" ht="18" x14ac:dyDescent="0.2">
      <c r="B44" s="103" t="s">
        <v>29</v>
      </c>
      <c r="C44" s="103"/>
      <c r="D44" s="103"/>
      <c r="E44" s="132">
        <f>(E42-E43)</f>
        <v>1322885000</v>
      </c>
      <c r="F44" s="133"/>
      <c r="G44" s="134"/>
    </row>
    <row r="45" spans="2:14" ht="18" x14ac:dyDescent="0.2">
      <c r="B45" s="122" t="s">
        <v>31</v>
      </c>
      <c r="C45" s="122"/>
      <c r="D45" s="122"/>
      <c r="E45" s="132">
        <f>(E42)</f>
        <v>2847212000</v>
      </c>
      <c r="F45" s="133"/>
      <c r="G45" s="134"/>
    </row>
    <row r="46" spans="2:14" ht="18" x14ac:dyDescent="0.2">
      <c r="B46" s="146" t="s">
        <v>13</v>
      </c>
      <c r="C46" s="146"/>
      <c r="D46" s="146"/>
      <c r="E46" s="132">
        <f>(E43/E50)</f>
        <v>0.69789440430733729</v>
      </c>
      <c r="F46" s="133"/>
      <c r="G46" s="134"/>
    </row>
    <row r="49" spans="2:9" ht="15.6" customHeight="1" x14ac:dyDescent="0.2">
      <c r="B49" s="175" t="s">
        <v>283</v>
      </c>
      <c r="C49" s="175"/>
      <c r="D49" s="175"/>
      <c r="E49" s="175"/>
      <c r="F49" s="175"/>
      <c r="G49" s="175"/>
    </row>
    <row r="50" spans="2:9" ht="18" x14ac:dyDescent="0.2">
      <c r="B50" s="135" t="s">
        <v>33</v>
      </c>
      <c r="C50" s="135"/>
      <c r="D50" s="135"/>
      <c r="E50" s="148">
        <v>2184180000</v>
      </c>
      <c r="F50" s="148"/>
      <c r="G50" s="148"/>
    </row>
    <row r="51" spans="2:9" ht="18" x14ac:dyDescent="0.2">
      <c r="B51" s="135" t="s">
        <v>34</v>
      </c>
      <c r="C51" s="135"/>
      <c r="D51" s="135"/>
      <c r="E51" s="136">
        <v>7.5</v>
      </c>
      <c r="F51" s="136"/>
      <c r="G51" s="136"/>
    </row>
    <row r="52" spans="2:9" ht="15.6" customHeight="1" x14ac:dyDescent="0.2">
      <c r="B52" s="135" t="s">
        <v>32</v>
      </c>
      <c r="C52" s="135"/>
      <c r="D52" s="135"/>
      <c r="E52" s="149">
        <f>(E51*E50)</f>
        <v>16381350000</v>
      </c>
      <c r="F52" s="149"/>
      <c r="G52" s="149"/>
    </row>
    <row r="53" spans="2:9" ht="18" x14ac:dyDescent="0.2">
      <c r="B53" s="135" t="s">
        <v>57</v>
      </c>
      <c r="C53" s="135"/>
      <c r="D53" s="135"/>
      <c r="E53" s="136"/>
      <c r="F53" s="136"/>
      <c r="G53" s="136"/>
    </row>
    <row r="54" spans="2:9" ht="18" x14ac:dyDescent="0.2">
      <c r="B54" s="135" t="s">
        <v>58</v>
      </c>
      <c r="C54" s="135"/>
      <c r="D54" s="135"/>
      <c r="E54" s="136"/>
      <c r="F54" s="136"/>
      <c r="G54" s="136"/>
    </row>
    <row r="55" spans="2:9" ht="18" x14ac:dyDescent="0.2">
      <c r="B55" s="135" t="s">
        <v>59</v>
      </c>
      <c r="C55" s="135"/>
      <c r="D55" s="135"/>
      <c r="E55" s="136">
        <f>((E53+E54)/2)</f>
        <v>0</v>
      </c>
      <c r="F55" s="136"/>
      <c r="G55" s="136"/>
    </row>
    <row r="56" spans="2:9" ht="18" x14ac:dyDescent="0.2">
      <c r="B56" s="135" t="s">
        <v>63</v>
      </c>
      <c r="C56" s="135"/>
      <c r="D56" s="135"/>
      <c r="E56" s="136">
        <v>90</v>
      </c>
      <c r="F56" s="136"/>
      <c r="G56" s="136"/>
    </row>
    <row r="62" spans="2:9" x14ac:dyDescent="0.15">
      <c r="I62" s="2"/>
    </row>
    <row r="63" spans="2:9" x14ac:dyDescent="0.15">
      <c r="I63" s="2"/>
    </row>
    <row r="64" spans="2:9" x14ac:dyDescent="0.15">
      <c r="I64" s="2"/>
    </row>
    <row r="65" spans="9:9" x14ac:dyDescent="0.15">
      <c r="I65" s="2"/>
    </row>
  </sheetData>
  <mergeCells count="156">
    <mergeCell ref="B56:D56"/>
    <mergeCell ref="E56:G56"/>
    <mergeCell ref="B53:D53"/>
    <mergeCell ref="E53:G53"/>
    <mergeCell ref="B54:D54"/>
    <mergeCell ref="E54:G54"/>
    <mergeCell ref="B55:D55"/>
    <mergeCell ref="E55:G55"/>
    <mergeCell ref="B4:D4"/>
    <mergeCell ref="B26:D26"/>
    <mergeCell ref="B30:D30"/>
    <mergeCell ref="E30:G30"/>
    <mergeCell ref="B32:D32"/>
    <mergeCell ref="E32:G32"/>
    <mergeCell ref="B46:D46"/>
    <mergeCell ref="E46:G46"/>
    <mergeCell ref="B49:G49"/>
    <mergeCell ref="B50:D50"/>
    <mergeCell ref="E50:G50"/>
    <mergeCell ref="B52:D52"/>
    <mergeCell ref="E52:G52"/>
    <mergeCell ref="B43:D43"/>
    <mergeCell ref="E43:G43"/>
    <mergeCell ref="B44:D44"/>
    <mergeCell ref="B51:D51"/>
    <mergeCell ref="E51:G51"/>
    <mergeCell ref="B39:G39"/>
    <mergeCell ref="B40:D40"/>
    <mergeCell ref="E40:G40"/>
    <mergeCell ref="B41:D41"/>
    <mergeCell ref="E41:G41"/>
    <mergeCell ref="B42:D42"/>
    <mergeCell ref="E42:G42"/>
    <mergeCell ref="B38:D38"/>
    <mergeCell ref="E38:G38"/>
    <mergeCell ref="J37:L37"/>
    <mergeCell ref="M37:N37"/>
    <mergeCell ref="B35:D35"/>
    <mergeCell ref="E35:G35"/>
    <mergeCell ref="E44:G44"/>
    <mergeCell ref="B45:D45"/>
    <mergeCell ref="E45:G45"/>
    <mergeCell ref="B36:D36"/>
    <mergeCell ref="E36:G36"/>
    <mergeCell ref="J35:L35"/>
    <mergeCell ref="M35:N35"/>
    <mergeCell ref="J33:L33"/>
    <mergeCell ref="M33:N33"/>
    <mergeCell ref="B33:D33"/>
    <mergeCell ref="E33:G33"/>
    <mergeCell ref="B37:D37"/>
    <mergeCell ref="E37:G37"/>
    <mergeCell ref="J36:L36"/>
    <mergeCell ref="M36:N36"/>
    <mergeCell ref="J31:L31"/>
    <mergeCell ref="M31:N31"/>
    <mergeCell ref="B34:D34"/>
    <mergeCell ref="E34:G34"/>
    <mergeCell ref="J32:L32"/>
    <mergeCell ref="M32:N32"/>
    <mergeCell ref="B29:D29"/>
    <mergeCell ref="E29:G29"/>
    <mergeCell ref="J29:L29"/>
    <mergeCell ref="M29:N29"/>
    <mergeCell ref="B31:D31"/>
    <mergeCell ref="E31:G31"/>
    <mergeCell ref="J30:L30"/>
    <mergeCell ref="M30:N30"/>
    <mergeCell ref="J34:N34"/>
    <mergeCell ref="B27:D27"/>
    <mergeCell ref="E27:G27"/>
    <mergeCell ref="J27:L27"/>
    <mergeCell ref="M27:N27"/>
    <mergeCell ref="B28:D28"/>
    <mergeCell ref="E28:G28"/>
    <mergeCell ref="J28:N28"/>
    <mergeCell ref="B25:D25"/>
    <mergeCell ref="E25:G25"/>
    <mergeCell ref="J25:L25"/>
    <mergeCell ref="M25:N25"/>
    <mergeCell ref="J26:L26"/>
    <mergeCell ref="M26:N26"/>
    <mergeCell ref="B23:D23"/>
    <mergeCell ref="E23:G23"/>
    <mergeCell ref="J23:L23"/>
    <mergeCell ref="M23:N23"/>
    <mergeCell ref="B24:D24"/>
    <mergeCell ref="E24:G24"/>
    <mergeCell ref="J24:L24"/>
    <mergeCell ref="M24:N24"/>
    <mergeCell ref="B21:D21"/>
    <mergeCell ref="E21:G21"/>
    <mergeCell ref="J21:L21"/>
    <mergeCell ref="M21:N21"/>
    <mergeCell ref="B22:G22"/>
    <mergeCell ref="J22:L22"/>
    <mergeCell ref="M22:N22"/>
    <mergeCell ref="B19:G19"/>
    <mergeCell ref="J19:L19"/>
    <mergeCell ref="M19:N19"/>
    <mergeCell ref="B20:G20"/>
    <mergeCell ref="J20:L20"/>
    <mergeCell ref="M20:N20"/>
    <mergeCell ref="B16:G16"/>
    <mergeCell ref="J16:N16"/>
    <mergeCell ref="B17:G17"/>
    <mergeCell ref="J17:L17"/>
    <mergeCell ref="M17:N17"/>
    <mergeCell ref="B18:D18"/>
    <mergeCell ref="E18:G18"/>
    <mergeCell ref="J18:L18"/>
    <mergeCell ref="M18:N18"/>
    <mergeCell ref="B14:D14"/>
    <mergeCell ref="E14:G14"/>
    <mergeCell ref="J14:L14"/>
    <mergeCell ref="M14:N14"/>
    <mergeCell ref="B15:D15"/>
    <mergeCell ref="E15:G15"/>
    <mergeCell ref="J15:L15"/>
    <mergeCell ref="M15:N15"/>
    <mergeCell ref="B12:D12"/>
    <mergeCell ref="E12:G12"/>
    <mergeCell ref="J12:L12"/>
    <mergeCell ref="M12:N12"/>
    <mergeCell ref="B13:D13"/>
    <mergeCell ref="E13:G13"/>
    <mergeCell ref="J13:L13"/>
    <mergeCell ref="M13:N13"/>
    <mergeCell ref="B10:D10"/>
    <mergeCell ref="E10:G10"/>
    <mergeCell ref="J10:N10"/>
    <mergeCell ref="B11:D11"/>
    <mergeCell ref="E11:G11"/>
    <mergeCell ref="J11:L11"/>
    <mergeCell ref="M11:N11"/>
    <mergeCell ref="B8:G8"/>
    <mergeCell ref="J8:L8"/>
    <mergeCell ref="M8:N8"/>
    <mergeCell ref="B9:D9"/>
    <mergeCell ref="E9:G9"/>
    <mergeCell ref="J9:L9"/>
    <mergeCell ref="M9:N9"/>
    <mergeCell ref="B6:G6"/>
    <mergeCell ref="J6:L6"/>
    <mergeCell ref="M6:N6"/>
    <mergeCell ref="B7:D7"/>
    <mergeCell ref="E7:G7"/>
    <mergeCell ref="J7:L7"/>
    <mergeCell ref="M7:N7"/>
    <mergeCell ref="J3:N3"/>
    <mergeCell ref="J4:L4"/>
    <mergeCell ref="M4:N4"/>
    <mergeCell ref="B5:G5"/>
    <mergeCell ref="J5:L5"/>
    <mergeCell ref="M5:N5"/>
    <mergeCell ref="D3:G3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BFD8A7B-0840-460E-A369-07B871144B60}">
          <x14:formula1>
            <xm:f>SOURCE!$G$3:$G$104</xm:f>
          </x14:formula1>
          <xm:sqref>C3</xm:sqref>
        </x14:dataValidation>
        <x14:dataValidation type="list" allowBlank="1" showInputMessage="1" showErrorMessage="1" xr:uid="{A754C80B-A5C8-4BFE-A924-A311553AEE5F}">
          <x14:formula1>
            <xm:f>SOURCE!$B$3:$B$6</xm:f>
          </x14:formula1>
          <xm:sqref>E4</xm:sqref>
        </x14:dataValidation>
        <x14:dataValidation type="list" allowBlank="1" showInputMessage="1" showErrorMessage="1" xr:uid="{7309138D-2B92-4BE8-A224-659160FF7848}">
          <x14:formula1>
            <xm:f>SOURCE!$C$3:$C$9</xm:f>
          </x14:formula1>
          <xm:sqref>G4</xm:sqref>
        </x14:dataValidation>
        <x14:dataValidation type="list" allowBlank="1" showInputMessage="1" showErrorMessage="1" xr:uid="{500680B9-BE68-4C84-8218-E44367517F6B}">
          <x14:formula1>
            <xm:f>SOURCE!$J$3:$J$4</xm:f>
          </x14:formula1>
          <xm:sqref>B4</xm:sqref>
        </x14:dataValidation>
        <x14:dataValidation type="list" allowBlank="1" showInputMessage="1" showErrorMessage="1" xr:uid="{6BA289A7-5CE9-48E6-84B7-70217AFA2256}">
          <x14:formula1>
            <xm:f>SOURCE!$E$3:$E$38</xm:f>
          </x14:formula1>
          <xm:sqref>F4</xm:sqref>
        </x14:dataValidation>
        <x14:dataValidation type="list" allowBlank="1" showInputMessage="1" showErrorMessage="1" xr:uid="{2B3626FC-4DC1-4FD8-AB0F-8DF247B1A9F3}">
          <x14:formula1>
            <xm:f>SOURCE!$C$14:$C$17</xm:f>
          </x14:formula1>
          <xm:sqref>E56:G56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F5AF-BB87-48C2-8481-A93B9B449D3E}">
  <dimension ref="C7:K51"/>
  <sheetViews>
    <sheetView topLeftCell="B1" zoomScale="85" zoomScaleNormal="85" workbookViewId="0">
      <selection activeCell="C51" sqref="C51:E51"/>
    </sheetView>
  </sheetViews>
  <sheetFormatPr defaultRowHeight="13.5" x14ac:dyDescent="0.15"/>
  <cols>
    <col min="5" max="5" width="20.83984375" customWidth="1"/>
    <col min="6" max="6" width="13.60546875" customWidth="1"/>
    <col min="7" max="7" width="14.953125" customWidth="1"/>
    <col min="8" max="8" width="12.2578125" customWidth="1"/>
    <col min="9" max="9" width="17.8984375" customWidth="1"/>
    <col min="10" max="10" width="12.01171875" customWidth="1"/>
    <col min="11" max="11" width="17.52734375" customWidth="1"/>
  </cols>
  <sheetData>
    <row r="7" spans="3:11" ht="18" x14ac:dyDescent="0.2">
      <c r="C7" s="179" t="s">
        <v>1</v>
      </c>
      <c r="D7" s="179"/>
      <c r="E7" s="179"/>
      <c r="F7" s="191" t="str">
        <f>Sheet1!C3</f>
        <v xml:space="preserve">HRHO </v>
      </c>
      <c r="G7" s="192"/>
      <c r="H7" s="137" t="str">
        <f>Sheet2!C3</f>
        <v xml:space="preserve">ABUK </v>
      </c>
      <c r="I7" s="139"/>
      <c r="J7" s="191" t="str">
        <f>Sheet3!C3</f>
        <v xml:space="preserve">SKPC </v>
      </c>
      <c r="K7" s="192"/>
    </row>
    <row r="8" spans="3:11" ht="18" x14ac:dyDescent="0.2">
      <c r="C8" s="179" t="s">
        <v>278</v>
      </c>
      <c r="D8" s="179"/>
      <c r="E8" s="179"/>
      <c r="F8" s="16" t="str">
        <f>Sheet1!E4  &amp;Sheet1!F4</f>
        <v>JUNE2024</v>
      </c>
      <c r="G8" s="16" t="str">
        <f>Sheet1!G4</f>
        <v>YEAR</v>
      </c>
      <c r="H8" s="3" t="str">
        <f>Sheet2!E4&amp;Sheet2!F4</f>
        <v>JUNE2024</v>
      </c>
      <c r="I8" s="3" t="str">
        <f>Sheet2!G4</f>
        <v>Q2</v>
      </c>
      <c r="J8" s="16" t="str">
        <f>Sheet3!E4&amp;Sheet3!F4</f>
        <v>JUNE2024</v>
      </c>
      <c r="K8" s="16" t="str">
        <f>Sheet3!G4</f>
        <v>H1</v>
      </c>
    </row>
    <row r="9" spans="3:11" ht="18" x14ac:dyDescent="0.2">
      <c r="C9" s="34" t="s">
        <v>43</v>
      </c>
      <c r="D9" s="35"/>
      <c r="E9" s="35"/>
      <c r="F9" s="35"/>
      <c r="G9" s="35"/>
      <c r="H9" s="35"/>
      <c r="I9" s="35"/>
      <c r="J9" s="35"/>
      <c r="K9" s="36"/>
    </row>
    <row r="10" spans="3:11" ht="18" x14ac:dyDescent="0.2">
      <c r="C10" s="24" t="s">
        <v>279</v>
      </c>
      <c r="D10" s="25"/>
      <c r="E10" s="26"/>
      <c r="F10" s="107">
        <f>Sheet1!M4</f>
        <v>1.2308030481271859</v>
      </c>
      <c r="G10" s="108"/>
      <c r="H10" s="107">
        <f>Sheet2!M4</f>
        <v>0.46027963611559991</v>
      </c>
      <c r="I10" s="108"/>
      <c r="J10" s="107">
        <f>Sheet3!M4</f>
        <v>1.2308030481271859</v>
      </c>
      <c r="K10" s="108"/>
    </row>
    <row r="11" spans="3:11" ht="18" x14ac:dyDescent="0.2">
      <c r="C11" s="24" t="s">
        <v>50</v>
      </c>
      <c r="D11" s="25"/>
      <c r="E11" s="26"/>
      <c r="F11" s="107">
        <f>Sheet1!M5</f>
        <v>0.94921422196206107</v>
      </c>
      <c r="G11" s="108"/>
      <c r="H11" s="107">
        <f>Sheet2!M5</f>
        <v>0.38533953050740649</v>
      </c>
      <c r="I11" s="108"/>
      <c r="J11" s="107">
        <f>Sheet3!M5</f>
        <v>0.94921422196206107</v>
      </c>
      <c r="K11" s="108"/>
    </row>
    <row r="12" spans="3:11" ht="18" x14ac:dyDescent="0.2">
      <c r="C12" s="24" t="s">
        <v>51</v>
      </c>
      <c r="D12" s="25"/>
      <c r="E12" s="26"/>
      <c r="F12" s="107">
        <f>Sheet1!M6</f>
        <v>0.36114836697874114</v>
      </c>
      <c r="G12" s="108"/>
      <c r="H12" s="107">
        <f>Sheet2!M6</f>
        <v>0.33577680674514976</v>
      </c>
      <c r="I12" s="108"/>
      <c r="J12" s="107">
        <f>Sheet3!M6</f>
        <v>0.93661876721523774</v>
      </c>
      <c r="K12" s="108"/>
    </row>
    <row r="13" spans="3:11" ht="18" x14ac:dyDescent="0.2">
      <c r="C13" s="24" t="s">
        <v>52</v>
      </c>
      <c r="D13" s="25"/>
      <c r="E13" s="26"/>
      <c r="F13" s="107">
        <f>Sheet1!M7</f>
        <v>0.27753068062690917</v>
      </c>
      <c r="G13" s="108"/>
      <c r="H13" s="107">
        <f>Sheet2!M7</f>
        <v>8.1832715908068426E-2</v>
      </c>
      <c r="I13" s="108"/>
      <c r="J13" s="107">
        <f>Sheet3!M7</f>
        <v>0.27753068062690917</v>
      </c>
      <c r="K13" s="108"/>
    </row>
    <row r="14" spans="3:11" ht="18" x14ac:dyDescent="0.2">
      <c r="C14" s="24" t="s">
        <v>291</v>
      </c>
      <c r="D14" s="25"/>
      <c r="E14" s="26"/>
      <c r="F14" s="189">
        <f>Sheet1!M8</f>
        <v>8794259000</v>
      </c>
      <c r="G14" s="190"/>
      <c r="H14" s="189">
        <f>Sheet2!M8</f>
        <v>-48592222000</v>
      </c>
      <c r="I14" s="190"/>
      <c r="J14" s="189">
        <f>Sheet3!M8</f>
        <v>8794259000</v>
      </c>
      <c r="K14" s="190"/>
    </row>
    <row r="15" spans="3:11" ht="18" x14ac:dyDescent="0.2">
      <c r="C15" s="24" t="s">
        <v>292</v>
      </c>
      <c r="D15" s="25"/>
      <c r="E15" s="26"/>
      <c r="F15" s="107">
        <f>Sheet1!M9</f>
        <v>0.2308030481271858</v>
      </c>
      <c r="G15" s="108"/>
      <c r="H15" s="107">
        <f>Sheet2!M9</f>
        <v>-0.53972036388440014</v>
      </c>
      <c r="I15" s="108"/>
      <c r="J15" s="107">
        <f>Sheet3!M9</f>
        <v>0.2308030481271858</v>
      </c>
      <c r="K15" s="108"/>
    </row>
    <row r="16" spans="3:11" ht="18" x14ac:dyDescent="0.2">
      <c r="C16" s="38" t="s">
        <v>38</v>
      </c>
      <c r="D16" s="39"/>
      <c r="E16" s="39"/>
      <c r="F16" s="39"/>
      <c r="G16" s="39"/>
      <c r="H16" s="39"/>
      <c r="I16" s="39"/>
      <c r="J16" s="39"/>
      <c r="K16" s="40"/>
    </row>
    <row r="17" spans="3:11" ht="18" x14ac:dyDescent="0.2">
      <c r="C17" s="41" t="s">
        <v>48</v>
      </c>
      <c r="D17" s="42"/>
      <c r="E17" s="43"/>
      <c r="F17" s="172">
        <f>Sheet1!M11</f>
        <v>0.87039916972405329</v>
      </c>
      <c r="G17" s="173"/>
      <c r="H17" s="172">
        <f>Sheet2!M11</f>
        <v>0.7649000036333784</v>
      </c>
      <c r="I17" s="173"/>
      <c r="J17" s="172">
        <f>Sheet3!M11</f>
        <v>0.70039884190184465</v>
      </c>
      <c r="K17" s="173"/>
    </row>
    <row r="18" spans="3:11" ht="18" x14ac:dyDescent="0.2">
      <c r="C18" s="41" t="s">
        <v>39</v>
      </c>
      <c r="D18" s="42"/>
      <c r="E18" s="43"/>
      <c r="F18" s="166">
        <f>Sheet1!M12</f>
        <v>2.3377709368763417</v>
      </c>
      <c r="G18" s="167"/>
      <c r="H18" s="187">
        <f>Sheet2!M12</f>
        <v>3.2535092107809804</v>
      </c>
      <c r="I18" s="188"/>
      <c r="J18" s="166">
        <f>Sheet3!M12</f>
        <v>2.3377709368763417</v>
      </c>
      <c r="K18" s="167"/>
    </row>
    <row r="19" spans="3:11" ht="18" x14ac:dyDescent="0.2">
      <c r="C19" s="41" t="s">
        <v>293</v>
      </c>
      <c r="D19" s="42"/>
      <c r="E19" s="43"/>
      <c r="F19" s="166">
        <f>Sheet1!M13</f>
        <v>2.0756697275493883</v>
      </c>
      <c r="G19" s="167"/>
      <c r="H19" s="187">
        <f>Sheet2!M13</f>
        <v>2.0714793702489791</v>
      </c>
      <c r="I19" s="188"/>
      <c r="J19" s="166">
        <f>Sheet3!M13</f>
        <v>2.0756697275493883</v>
      </c>
      <c r="K19" s="167"/>
    </row>
    <row r="20" spans="3:11" ht="18" x14ac:dyDescent="0.2">
      <c r="C20" s="41" t="s">
        <v>40</v>
      </c>
      <c r="D20" s="42"/>
      <c r="E20" s="43"/>
      <c r="F20" s="166">
        <f>Sheet1!M14</f>
        <v>7.6265964646676574</v>
      </c>
      <c r="G20" s="167"/>
      <c r="H20" s="187">
        <f>Sheet2!M14</f>
        <v>0.30302576315141255</v>
      </c>
      <c r="I20" s="188"/>
      <c r="J20" s="166">
        <f>Sheet3!M14</f>
        <v>1.2770896842037305</v>
      </c>
      <c r="K20" s="167"/>
    </row>
    <row r="21" spans="3:11" ht="18" x14ac:dyDescent="0.2">
      <c r="C21" s="41" t="s">
        <v>49</v>
      </c>
      <c r="D21" s="42"/>
      <c r="E21" s="43"/>
      <c r="F21" s="166" t="e">
        <f>Sheet1!M15</f>
        <v>#DIV/0!</v>
      </c>
      <c r="G21" s="167"/>
      <c r="H21" s="187" t="e">
        <f>Sheet2!M15</f>
        <v>#DIV/0!</v>
      </c>
      <c r="I21" s="188"/>
      <c r="J21" s="166">
        <f>Sheet3!M15</f>
        <v>-7.9496567973197507</v>
      </c>
      <c r="K21" s="167"/>
    </row>
    <row r="22" spans="3:11" ht="18" x14ac:dyDescent="0.2">
      <c r="C22" s="62" t="s">
        <v>56</v>
      </c>
      <c r="D22" s="63"/>
      <c r="E22" s="63"/>
      <c r="F22" s="63"/>
      <c r="G22" s="63"/>
      <c r="H22" s="63"/>
      <c r="I22" s="63"/>
      <c r="J22" s="63"/>
      <c r="K22" s="64"/>
    </row>
    <row r="23" spans="3:11" ht="18" x14ac:dyDescent="0.2">
      <c r="C23" s="54" t="s">
        <v>42</v>
      </c>
      <c r="D23" s="55"/>
      <c r="E23" s="56"/>
      <c r="F23" s="164">
        <f>Sheet1!M17</f>
        <v>2.069837267761875</v>
      </c>
      <c r="G23" s="165"/>
      <c r="H23" s="164">
        <f>Sheet2!M17</f>
        <v>3.291524381712589</v>
      </c>
      <c r="I23" s="165"/>
      <c r="J23" s="164">
        <f>Sheet3!M17</f>
        <v>2.069837267761875</v>
      </c>
      <c r="K23" s="165"/>
    </row>
    <row r="24" spans="3:11" ht="18" x14ac:dyDescent="0.2">
      <c r="C24" s="58" t="s">
        <v>298</v>
      </c>
      <c r="D24" s="59"/>
      <c r="E24" s="60"/>
      <c r="F24" s="98">
        <f>Sheet1!M18</f>
        <v>43.481679164718798</v>
      </c>
      <c r="G24" s="99"/>
      <c r="H24" s="98">
        <f>Sheet2!M18</f>
        <v>82.028862219613359</v>
      </c>
      <c r="I24" s="99"/>
      <c r="J24" s="98">
        <f>Sheet3!M18</f>
        <v>43.481679164718798</v>
      </c>
      <c r="K24" s="99"/>
    </row>
    <row r="25" spans="3:11" ht="18" x14ac:dyDescent="0.2">
      <c r="C25" s="54" t="s">
        <v>41</v>
      </c>
      <c r="D25" s="55"/>
      <c r="E25" s="56"/>
      <c r="F25" s="164">
        <f>Sheet1!M19</f>
        <v>0.78501416315096473</v>
      </c>
      <c r="G25" s="165"/>
      <c r="H25" s="164">
        <f>Sheet2!M19</f>
        <v>2.3206244726461125</v>
      </c>
      <c r="I25" s="165"/>
      <c r="J25" s="164">
        <f>Sheet3!M19</f>
        <v>2.3206244726461125</v>
      </c>
      <c r="K25" s="165"/>
    </row>
    <row r="26" spans="3:11" ht="18" x14ac:dyDescent="0.2">
      <c r="C26" s="58" t="s">
        <v>299</v>
      </c>
      <c r="D26" s="59"/>
      <c r="E26" s="60"/>
      <c r="F26" s="98">
        <f>Sheet1!M20</f>
        <v>114.64761302999861</v>
      </c>
      <c r="G26" s="99"/>
      <c r="H26" s="98">
        <f>Sheet2!M20</f>
        <v>116.34799304349752</v>
      </c>
      <c r="I26" s="99"/>
      <c r="J26" s="98">
        <f>Sheet3!M20</f>
        <v>38.782664347832508</v>
      </c>
      <c r="K26" s="99"/>
    </row>
    <row r="27" spans="3:11" ht="18" x14ac:dyDescent="0.2">
      <c r="C27" s="54" t="s">
        <v>296</v>
      </c>
      <c r="D27" s="55"/>
      <c r="E27" s="56"/>
      <c r="F27" s="164">
        <f>Sheet1!M21</f>
        <v>0</v>
      </c>
      <c r="G27" s="165"/>
      <c r="H27" s="164">
        <f>Sheet2!M21</f>
        <v>0</v>
      </c>
      <c r="I27" s="165"/>
      <c r="J27" s="164">
        <f>Sheet3!M21</f>
        <v>0</v>
      </c>
      <c r="K27" s="165"/>
    </row>
    <row r="28" spans="3:11" ht="18" x14ac:dyDescent="0.2">
      <c r="C28" s="81" t="s">
        <v>295</v>
      </c>
      <c r="D28" s="82"/>
      <c r="E28" s="83"/>
      <c r="F28" s="162">
        <f>Sheet1!M22</f>
        <v>0</v>
      </c>
      <c r="G28" s="163"/>
      <c r="H28" s="162">
        <f>Sheet2!M22</f>
        <v>0</v>
      </c>
      <c r="I28" s="163"/>
      <c r="J28" s="162">
        <f>Sheet3!M22</f>
        <v>0</v>
      </c>
      <c r="K28" s="163"/>
    </row>
    <row r="29" spans="3:11" ht="18" x14ac:dyDescent="0.2">
      <c r="C29" s="81" t="s">
        <v>294</v>
      </c>
      <c r="D29" s="82"/>
      <c r="E29" s="83"/>
      <c r="F29" s="162">
        <f>Sheet1!M23</f>
        <v>158.12929219471741</v>
      </c>
      <c r="G29" s="163"/>
      <c r="H29" s="162">
        <f>Sheet2!M23</f>
        <v>198.37685526311088</v>
      </c>
      <c r="I29" s="163"/>
      <c r="J29" s="162">
        <f>Sheet3!M23</f>
        <v>82.264343512551307</v>
      </c>
      <c r="K29" s="163"/>
    </row>
    <row r="30" spans="3:11" ht="18" x14ac:dyDescent="0.2">
      <c r="C30" s="81" t="s">
        <v>297</v>
      </c>
      <c r="D30" s="82"/>
      <c r="E30" s="83"/>
      <c r="F30" s="162">
        <f>Sheet1!M24</f>
        <v>158.12929219471741</v>
      </c>
      <c r="G30" s="163"/>
      <c r="H30" s="162">
        <f>Sheet2!M24</f>
        <v>198.37685526311088</v>
      </c>
      <c r="I30" s="163"/>
      <c r="J30" s="162">
        <f>Sheet3!M24</f>
        <v>82.264343512551307</v>
      </c>
      <c r="K30" s="163"/>
    </row>
    <row r="31" spans="3:11" ht="18" x14ac:dyDescent="0.2">
      <c r="C31" s="58" t="s">
        <v>37</v>
      </c>
      <c r="D31" s="59"/>
      <c r="E31" s="60"/>
      <c r="F31" s="98">
        <f>Sheet1!M25</f>
        <v>10.807204027987183</v>
      </c>
      <c r="G31" s="99"/>
      <c r="H31" s="98">
        <f>Sheet2!M25</f>
        <v>0.18136114755377336</v>
      </c>
      <c r="I31" s="99"/>
      <c r="J31" s="98">
        <f>Sheet3!M25</f>
        <v>1.8096891376340667</v>
      </c>
      <c r="K31" s="99"/>
    </row>
    <row r="32" spans="3:11" ht="18" x14ac:dyDescent="0.2">
      <c r="C32" s="95" t="s">
        <v>36</v>
      </c>
      <c r="D32" s="96"/>
      <c r="E32" s="97"/>
      <c r="F32" s="98">
        <f>Sheet1!M26</f>
        <v>0.55467139343769234</v>
      </c>
      <c r="G32" s="99"/>
      <c r="H32" s="98">
        <f>Sheet2!M26</f>
        <v>0.62771474138861549</v>
      </c>
      <c r="I32" s="99"/>
      <c r="J32" s="98">
        <f>Sheet3!M26</f>
        <v>0.55467139343769234</v>
      </c>
      <c r="K32" s="99"/>
    </row>
    <row r="33" spans="3:11" ht="18" x14ac:dyDescent="0.2">
      <c r="C33" s="95" t="s">
        <v>35</v>
      </c>
      <c r="D33" s="96"/>
      <c r="E33" s="97"/>
      <c r="F33" s="98">
        <f>Sheet1!M27</f>
        <v>0.52759308609082933</v>
      </c>
      <c r="G33" s="99"/>
      <c r="H33" s="98">
        <f>Sheet2!M27</f>
        <v>0.14070752495600039</v>
      </c>
      <c r="I33" s="99"/>
      <c r="J33" s="98">
        <f>Sheet3!M27</f>
        <v>0.42454726445866159</v>
      </c>
      <c r="K33" s="99"/>
    </row>
    <row r="34" spans="3:11" ht="18" x14ac:dyDescent="0.2">
      <c r="C34" s="100" t="s">
        <v>44</v>
      </c>
      <c r="D34" s="101"/>
      <c r="E34" s="101"/>
      <c r="F34" s="101"/>
      <c r="G34" s="101"/>
      <c r="H34" s="101"/>
      <c r="I34" s="101"/>
      <c r="J34" s="101"/>
      <c r="K34" s="102"/>
    </row>
    <row r="35" spans="3:11" ht="18" x14ac:dyDescent="0.2">
      <c r="C35" s="24" t="s">
        <v>302</v>
      </c>
      <c r="D35" s="25"/>
      <c r="E35" s="26"/>
      <c r="F35" s="107">
        <f>Sheet1!M29</f>
        <v>0.14625673959712518</v>
      </c>
      <c r="G35" s="108"/>
      <c r="H35" s="107">
        <f>Sheet2!M29</f>
        <v>0.14625673959712518</v>
      </c>
      <c r="I35" s="108"/>
      <c r="J35" s="107">
        <f>Sheet3!M29</f>
        <v>0.14625673959712518</v>
      </c>
      <c r="K35" s="108"/>
    </row>
    <row r="36" spans="3:11" ht="18" x14ac:dyDescent="0.2">
      <c r="C36" s="24" t="s">
        <v>45</v>
      </c>
      <c r="D36" s="25"/>
      <c r="E36" s="26"/>
      <c r="F36" s="107">
        <f>Sheet1!M30</f>
        <v>0</v>
      </c>
      <c r="G36" s="108"/>
      <c r="H36" s="107">
        <f>Sheet2!M30</f>
        <v>0</v>
      </c>
      <c r="I36" s="108"/>
      <c r="J36" s="107">
        <f>Sheet3!M30</f>
        <v>2.4878382801561811E-2</v>
      </c>
      <c r="K36" s="108"/>
    </row>
    <row r="37" spans="3:11" ht="18" x14ac:dyDescent="0.2">
      <c r="C37" s="24" t="s">
        <v>46</v>
      </c>
      <c r="D37" s="25"/>
      <c r="E37" s="26"/>
      <c r="F37" s="107">
        <f>Sheet1!M31</f>
        <v>0</v>
      </c>
      <c r="G37" s="108"/>
      <c r="H37" s="107">
        <f>Sheet2!M31</f>
        <v>0</v>
      </c>
      <c r="I37" s="108"/>
      <c r="J37" s="107">
        <f>Sheet3!M31</f>
        <v>8.3038344426797431E-2</v>
      </c>
      <c r="K37" s="108"/>
    </row>
    <row r="38" spans="3:11" ht="18" x14ac:dyDescent="0.2">
      <c r="C38" s="24" t="s">
        <v>53</v>
      </c>
      <c r="D38" s="25"/>
      <c r="E38" s="26"/>
      <c r="F38" s="107">
        <f>Sheet1!M32</f>
        <v>1322885000</v>
      </c>
      <c r="G38" s="108"/>
      <c r="H38" s="107">
        <f>Sheet2!M32</f>
        <v>1322885000</v>
      </c>
      <c r="I38" s="108"/>
      <c r="J38" s="107">
        <f>Sheet3!M32</f>
        <v>0.69789440430733729</v>
      </c>
      <c r="K38" s="108"/>
    </row>
    <row r="39" spans="3:11" ht="18" x14ac:dyDescent="0.2">
      <c r="C39" s="24" t="s">
        <v>303</v>
      </c>
      <c r="D39" s="25"/>
      <c r="E39" s="26"/>
      <c r="F39" s="107">
        <f>Sheet1!M33</f>
        <v>0</v>
      </c>
      <c r="G39" s="108"/>
      <c r="H39" s="107">
        <f>Sheet2!M33</f>
        <v>0</v>
      </c>
      <c r="I39" s="108"/>
      <c r="J39" s="107">
        <f>Sheet3!M33</f>
        <v>5.8599795321456455E-2</v>
      </c>
      <c r="K39" s="108"/>
    </row>
    <row r="40" spans="3:11" ht="18" x14ac:dyDescent="0.2">
      <c r="C40" s="129" t="s">
        <v>55</v>
      </c>
      <c r="D40" s="130"/>
      <c r="E40" s="130"/>
      <c r="F40" s="130"/>
      <c r="G40" s="130"/>
      <c r="H40" s="130"/>
      <c r="I40" s="130"/>
      <c r="J40" s="130"/>
      <c r="K40" s="131"/>
    </row>
    <row r="41" spans="3:11" ht="18" x14ac:dyDescent="0.2">
      <c r="C41" s="117" t="s">
        <v>47</v>
      </c>
      <c r="D41" s="118"/>
      <c r="E41" s="119"/>
      <c r="F41" s="120">
        <f>Sheet1!M35</f>
        <v>0</v>
      </c>
      <c r="G41" s="121"/>
      <c r="H41" s="120">
        <f>Sheet2!M35</f>
        <v>2.6464885458675546E-8</v>
      </c>
      <c r="I41" s="121"/>
      <c r="J41" s="120">
        <f>Sheet3!M35</f>
        <v>0</v>
      </c>
      <c r="K41" s="121"/>
    </row>
    <row r="42" spans="3:11" ht="18" x14ac:dyDescent="0.2">
      <c r="C42" s="117" t="s">
        <v>54</v>
      </c>
      <c r="D42" s="118"/>
      <c r="E42" s="119"/>
      <c r="F42" s="120">
        <f>Sheet1!M36</f>
        <v>2.9255148385206349</v>
      </c>
      <c r="G42" s="121"/>
      <c r="H42" s="120">
        <f>Sheet2!M36</f>
        <v>25.460422398216924</v>
      </c>
      <c r="I42" s="121"/>
      <c r="J42" s="120">
        <f>Sheet3!M36</f>
        <v>8.4044840626688284</v>
      </c>
      <c r="K42" s="121"/>
    </row>
    <row r="43" spans="3:11" ht="18" x14ac:dyDescent="0.2">
      <c r="C43" s="117" t="s">
        <v>281</v>
      </c>
      <c r="D43" s="118"/>
      <c r="E43" s="119"/>
      <c r="F43" s="120">
        <f>Sheet1!M37</f>
        <v>2.5636513277070154</v>
      </c>
      <c r="G43" s="121"/>
      <c r="H43" s="120">
        <f>Sheet2!M37</f>
        <v>1.2961293211816902</v>
      </c>
      <c r="I43" s="121"/>
      <c r="J43" s="120">
        <f>Sheet3!M37</f>
        <v>0.89238077484299361</v>
      </c>
      <c r="K43" s="121"/>
    </row>
    <row r="44" spans="3:11" ht="18" x14ac:dyDescent="0.2">
      <c r="C44" s="180" t="s">
        <v>283</v>
      </c>
      <c r="D44" s="181"/>
      <c r="E44" s="181"/>
      <c r="F44" s="181"/>
      <c r="G44" s="181"/>
      <c r="H44" s="181"/>
      <c r="I44" s="181"/>
      <c r="J44" s="181"/>
      <c r="K44" s="182"/>
    </row>
    <row r="45" spans="3:11" ht="18" x14ac:dyDescent="0.2">
      <c r="C45" s="176" t="s">
        <v>33</v>
      </c>
      <c r="D45" s="177"/>
      <c r="E45" s="178"/>
      <c r="F45" s="183">
        <f>Sheet1!E50</f>
        <v>2184180000</v>
      </c>
      <c r="G45" s="184"/>
      <c r="H45" s="185">
        <f>Sheet2!E50</f>
        <v>1707071600</v>
      </c>
      <c r="I45" s="186"/>
      <c r="J45" s="185">
        <f>Sheet3!E50</f>
        <v>2184180000</v>
      </c>
      <c r="K45" s="186"/>
    </row>
    <row r="46" spans="3:11" ht="18" x14ac:dyDescent="0.2">
      <c r="C46" s="176" t="s">
        <v>34</v>
      </c>
      <c r="D46" s="177"/>
      <c r="E46" s="178"/>
      <c r="F46" s="120">
        <f>Sheet1!E51</f>
        <v>7.5</v>
      </c>
      <c r="G46" s="121"/>
      <c r="H46" s="120">
        <f>Sheet2!E51</f>
        <v>33</v>
      </c>
      <c r="I46" s="121"/>
      <c r="J46" s="120">
        <f>Sheet3!E51</f>
        <v>7.5</v>
      </c>
      <c r="K46" s="121"/>
    </row>
    <row r="47" spans="3:11" ht="18" x14ac:dyDescent="0.2">
      <c r="C47" s="176" t="s">
        <v>32</v>
      </c>
      <c r="D47" s="177"/>
      <c r="E47" s="178"/>
      <c r="F47" s="71">
        <f>Sheet1!E52</f>
        <v>16381350000</v>
      </c>
      <c r="G47" s="73"/>
      <c r="H47" s="71">
        <f>Sheet2!E52</f>
        <v>56333362800</v>
      </c>
      <c r="I47" s="73"/>
      <c r="J47" s="71">
        <f>Sheet3!E52</f>
        <v>16381350000</v>
      </c>
      <c r="K47" s="73"/>
    </row>
    <row r="48" spans="3:11" ht="18" x14ac:dyDescent="0.2">
      <c r="C48" s="176" t="s">
        <v>57</v>
      </c>
      <c r="D48" s="177"/>
      <c r="E48" s="178"/>
      <c r="F48" s="120">
        <f>Sheet1!E53</f>
        <v>0</v>
      </c>
      <c r="G48" s="121"/>
      <c r="H48" s="120">
        <f>Sheet2!E53</f>
        <v>39.409999999999997</v>
      </c>
      <c r="I48" s="121"/>
      <c r="J48" s="120">
        <f>Sheet3!E53</f>
        <v>0</v>
      </c>
      <c r="K48" s="121"/>
    </row>
    <row r="49" spans="3:11" ht="18" x14ac:dyDescent="0.2">
      <c r="C49" s="176" t="s">
        <v>58</v>
      </c>
      <c r="D49" s="177"/>
      <c r="E49" s="178"/>
      <c r="F49" s="120">
        <f>Sheet1!E54</f>
        <v>0</v>
      </c>
      <c r="G49" s="121"/>
      <c r="H49" s="120">
        <f>Sheet2!E54</f>
        <v>30.61</v>
      </c>
      <c r="I49" s="121"/>
      <c r="J49" s="120">
        <f>Sheet3!E54</f>
        <v>0</v>
      </c>
      <c r="K49" s="121"/>
    </row>
    <row r="50" spans="3:11" ht="18" x14ac:dyDescent="0.2">
      <c r="C50" s="176" t="s">
        <v>59</v>
      </c>
      <c r="D50" s="177"/>
      <c r="E50" s="178"/>
      <c r="F50" s="120">
        <f>Sheet1!E55</f>
        <v>0</v>
      </c>
      <c r="G50" s="121"/>
      <c r="H50" s="120">
        <f>Sheet2!E55</f>
        <v>35.01</v>
      </c>
      <c r="I50" s="121"/>
      <c r="J50" s="120">
        <f>Sheet3!E55</f>
        <v>0</v>
      </c>
      <c r="K50" s="121"/>
    </row>
    <row r="51" spans="3:11" ht="18" x14ac:dyDescent="0.2">
      <c r="C51" s="176" t="s">
        <v>63</v>
      </c>
      <c r="D51" s="177"/>
      <c r="E51" s="178"/>
      <c r="F51" s="120">
        <f>Sheet1!E56</f>
        <v>90</v>
      </c>
      <c r="G51" s="121"/>
      <c r="H51" s="120">
        <f>Sheet2!E56</f>
        <v>270</v>
      </c>
      <c r="I51" s="121"/>
      <c r="J51" s="120">
        <f>Sheet3!E56</f>
        <v>90</v>
      </c>
      <c r="K51" s="121"/>
    </row>
  </sheetData>
  <mergeCells count="159">
    <mergeCell ref="J15:K15"/>
    <mergeCell ref="J14:K14"/>
    <mergeCell ref="J13:K13"/>
    <mergeCell ref="J12:K12"/>
    <mergeCell ref="H11:I11"/>
    <mergeCell ref="H10:I10"/>
    <mergeCell ref="C7:E7"/>
    <mergeCell ref="F7:G7"/>
    <mergeCell ref="H7:I7"/>
    <mergeCell ref="J7:K7"/>
    <mergeCell ref="C9:K9"/>
    <mergeCell ref="J10:K10"/>
    <mergeCell ref="J11:K11"/>
    <mergeCell ref="C13:E13"/>
    <mergeCell ref="F13:G13"/>
    <mergeCell ref="C14:E14"/>
    <mergeCell ref="F14:G14"/>
    <mergeCell ref="C15:E15"/>
    <mergeCell ref="F15:G15"/>
    <mergeCell ref="C10:E10"/>
    <mergeCell ref="F10:G10"/>
    <mergeCell ref="C11:E11"/>
    <mergeCell ref="F11:G11"/>
    <mergeCell ref="C12:E12"/>
    <mergeCell ref="C16:K16"/>
    <mergeCell ref="C22:K22"/>
    <mergeCell ref="C34:K34"/>
    <mergeCell ref="C40:K40"/>
    <mergeCell ref="H15:I15"/>
    <mergeCell ref="H14:I14"/>
    <mergeCell ref="H13:I13"/>
    <mergeCell ref="H12:I12"/>
    <mergeCell ref="H41:I41"/>
    <mergeCell ref="J41:K41"/>
    <mergeCell ref="H32:I32"/>
    <mergeCell ref="J32:K32"/>
    <mergeCell ref="H33:I33"/>
    <mergeCell ref="J33:K33"/>
    <mergeCell ref="H35:I35"/>
    <mergeCell ref="J35:K35"/>
    <mergeCell ref="H29:I29"/>
    <mergeCell ref="J29:K29"/>
    <mergeCell ref="H30:I30"/>
    <mergeCell ref="J30:K30"/>
    <mergeCell ref="H31:I31"/>
    <mergeCell ref="J31:K31"/>
    <mergeCell ref="H26:I26"/>
    <mergeCell ref="J26:K26"/>
    <mergeCell ref="H42:I42"/>
    <mergeCell ref="J42:K42"/>
    <mergeCell ref="H43:I43"/>
    <mergeCell ref="J43:K43"/>
    <mergeCell ref="H36:I36"/>
    <mergeCell ref="J36:K36"/>
    <mergeCell ref="H37:I37"/>
    <mergeCell ref="J37:K37"/>
    <mergeCell ref="H38:I38"/>
    <mergeCell ref="J38:K38"/>
    <mergeCell ref="H39:I39"/>
    <mergeCell ref="J39:K39"/>
    <mergeCell ref="H27:I27"/>
    <mergeCell ref="J27:K27"/>
    <mergeCell ref="H28:I28"/>
    <mergeCell ref="J28:K28"/>
    <mergeCell ref="H23:I23"/>
    <mergeCell ref="J23:K23"/>
    <mergeCell ref="H24:I24"/>
    <mergeCell ref="J24:K24"/>
    <mergeCell ref="H25:I25"/>
    <mergeCell ref="J25:K25"/>
    <mergeCell ref="H17:I17"/>
    <mergeCell ref="H18:I18"/>
    <mergeCell ref="H19:I19"/>
    <mergeCell ref="H20:I20"/>
    <mergeCell ref="H21:I21"/>
    <mergeCell ref="J17:K17"/>
    <mergeCell ref="J18:K18"/>
    <mergeCell ref="J19:K19"/>
    <mergeCell ref="J20:K20"/>
    <mergeCell ref="J21:K21"/>
    <mergeCell ref="C42:E42"/>
    <mergeCell ref="F42:G42"/>
    <mergeCell ref="C43:E43"/>
    <mergeCell ref="F43:G43"/>
    <mergeCell ref="C37:E37"/>
    <mergeCell ref="F37:G37"/>
    <mergeCell ref="C38:E38"/>
    <mergeCell ref="F38:G38"/>
    <mergeCell ref="C41:E41"/>
    <mergeCell ref="F41:G41"/>
    <mergeCell ref="C39:E39"/>
    <mergeCell ref="F39:G39"/>
    <mergeCell ref="C33:E33"/>
    <mergeCell ref="F33:G33"/>
    <mergeCell ref="C35:E35"/>
    <mergeCell ref="F35:G35"/>
    <mergeCell ref="C36:E36"/>
    <mergeCell ref="F36:G36"/>
    <mergeCell ref="C30:E30"/>
    <mergeCell ref="F30:G30"/>
    <mergeCell ref="C31:E31"/>
    <mergeCell ref="F31:G31"/>
    <mergeCell ref="C32:E32"/>
    <mergeCell ref="F32:G32"/>
    <mergeCell ref="F27:G27"/>
    <mergeCell ref="C28:E28"/>
    <mergeCell ref="F28:G28"/>
    <mergeCell ref="C29:E29"/>
    <mergeCell ref="F29:G29"/>
    <mergeCell ref="C24:E24"/>
    <mergeCell ref="F24:G24"/>
    <mergeCell ref="C25:E25"/>
    <mergeCell ref="F25:G25"/>
    <mergeCell ref="C26:E26"/>
    <mergeCell ref="F26:G26"/>
    <mergeCell ref="F12:G12"/>
    <mergeCell ref="C8:E8"/>
    <mergeCell ref="C44:K44"/>
    <mergeCell ref="C45:E45"/>
    <mergeCell ref="F45:G45"/>
    <mergeCell ref="H45:I45"/>
    <mergeCell ref="J45:K45"/>
    <mergeCell ref="C46:E46"/>
    <mergeCell ref="F46:G46"/>
    <mergeCell ref="H46:I46"/>
    <mergeCell ref="J46:K46"/>
    <mergeCell ref="C20:E20"/>
    <mergeCell ref="F20:G20"/>
    <mergeCell ref="C21:E21"/>
    <mergeCell ref="F21:G21"/>
    <mergeCell ref="C23:E23"/>
    <mergeCell ref="F23:G23"/>
    <mergeCell ref="C17:E17"/>
    <mergeCell ref="F17:G17"/>
    <mergeCell ref="C18:E18"/>
    <mergeCell ref="F18:G18"/>
    <mergeCell ref="C19:E19"/>
    <mergeCell ref="F19:G19"/>
    <mergeCell ref="C27:E27"/>
    <mergeCell ref="C47:E47"/>
    <mergeCell ref="F47:G47"/>
    <mergeCell ref="H47:I47"/>
    <mergeCell ref="J47:K47"/>
    <mergeCell ref="C48:E48"/>
    <mergeCell ref="C49:E49"/>
    <mergeCell ref="C50:E50"/>
    <mergeCell ref="C51:E51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806C-D9E7-4BF4-8139-45BB24056ACA}">
  <dimension ref="B2:J104"/>
  <sheetViews>
    <sheetView zoomScale="85" zoomScaleNormal="85" workbookViewId="0">
      <selection activeCell="B4" sqref="B4"/>
    </sheetView>
  </sheetViews>
  <sheetFormatPr defaultRowHeight="13.5" x14ac:dyDescent="0.15"/>
  <cols>
    <col min="1" max="1" width="8.94921875" customWidth="1"/>
    <col min="2" max="5" width="11.03125" customWidth="1"/>
    <col min="6" max="6" width="11.27734375" customWidth="1"/>
    <col min="7" max="7" width="13.73046875" style="4" customWidth="1"/>
    <col min="8" max="8" width="50.140625" customWidth="1"/>
    <col min="9" max="9" width="11.765625" customWidth="1"/>
    <col min="10" max="10" width="33.95703125" bestFit="1" customWidth="1"/>
  </cols>
  <sheetData>
    <row r="2" spans="2:10" ht="14.25" x14ac:dyDescent="0.15">
      <c r="B2" t="s">
        <v>290</v>
      </c>
      <c r="C2" t="s">
        <v>74</v>
      </c>
      <c r="E2" s="20" t="s">
        <v>73</v>
      </c>
      <c r="G2" s="19" t="s">
        <v>1</v>
      </c>
      <c r="H2" s="19" t="s">
        <v>280</v>
      </c>
      <c r="J2" t="s">
        <v>67</v>
      </c>
    </row>
    <row r="3" spans="2:10" ht="14.25" x14ac:dyDescent="0.15">
      <c r="B3" t="s">
        <v>289</v>
      </c>
      <c r="C3" t="s">
        <v>68</v>
      </c>
      <c r="E3" s="20">
        <v>2015</v>
      </c>
      <c r="G3" s="4" t="s">
        <v>274</v>
      </c>
      <c r="H3" s="10" t="s">
        <v>75</v>
      </c>
      <c r="J3" t="s">
        <v>60</v>
      </c>
    </row>
    <row r="4" spans="2:10" ht="14.25" x14ac:dyDescent="0.15">
      <c r="B4" t="s">
        <v>64</v>
      </c>
      <c r="C4" t="s">
        <v>69</v>
      </c>
      <c r="E4" s="20">
        <v>2016</v>
      </c>
      <c r="F4" s="8"/>
      <c r="G4" s="13" t="s">
        <v>275</v>
      </c>
      <c r="H4" s="10" t="s">
        <v>76</v>
      </c>
      <c r="J4" t="s">
        <v>284</v>
      </c>
    </row>
    <row r="5" spans="2:10" ht="14.25" x14ac:dyDescent="0.15">
      <c r="B5" t="s">
        <v>65</v>
      </c>
      <c r="C5" t="s">
        <v>70</v>
      </c>
      <c r="E5" s="20">
        <v>2017</v>
      </c>
      <c r="G5" s="4" t="s">
        <v>276</v>
      </c>
      <c r="H5" s="10" t="s">
        <v>77</v>
      </c>
    </row>
    <row r="6" spans="2:10" ht="14.25" x14ac:dyDescent="0.15">
      <c r="B6" t="s">
        <v>66</v>
      </c>
      <c r="C6" t="s">
        <v>71</v>
      </c>
      <c r="E6" s="20">
        <v>2018</v>
      </c>
      <c r="F6" s="5"/>
      <c r="G6" s="12" t="s">
        <v>277</v>
      </c>
      <c r="H6" s="10" t="s">
        <v>78</v>
      </c>
    </row>
    <row r="7" spans="2:10" ht="14.25" x14ac:dyDescent="0.15">
      <c r="B7" s="9"/>
      <c r="C7" t="s">
        <v>61</v>
      </c>
      <c r="E7" s="20">
        <v>2019</v>
      </c>
      <c r="F7" s="7"/>
      <c r="G7" s="11" t="s">
        <v>176</v>
      </c>
      <c r="H7" t="s">
        <v>79</v>
      </c>
    </row>
    <row r="8" spans="2:10" ht="14.25" x14ac:dyDescent="0.15">
      <c r="B8" s="9"/>
      <c r="C8" t="s">
        <v>72</v>
      </c>
      <c r="E8" s="20">
        <v>2020</v>
      </c>
      <c r="F8" s="6"/>
      <c r="G8" s="14" t="s">
        <v>177</v>
      </c>
      <c r="H8" t="s">
        <v>80</v>
      </c>
    </row>
    <row r="9" spans="2:10" ht="14.25" x14ac:dyDescent="0.15">
      <c r="B9" s="9"/>
      <c r="C9" t="s">
        <v>73</v>
      </c>
      <c r="E9" s="20">
        <v>2021</v>
      </c>
      <c r="F9" s="6"/>
      <c r="G9" s="14" t="s">
        <v>178</v>
      </c>
      <c r="H9" t="s">
        <v>81</v>
      </c>
    </row>
    <row r="10" spans="2:10" ht="14.25" x14ac:dyDescent="0.15">
      <c r="B10" s="9"/>
      <c r="E10" s="20">
        <v>2022</v>
      </c>
      <c r="F10" s="6"/>
      <c r="G10" s="14" t="s">
        <v>179</v>
      </c>
      <c r="H10" t="s">
        <v>82</v>
      </c>
    </row>
    <row r="11" spans="2:10" ht="14.25" x14ac:dyDescent="0.15">
      <c r="E11" s="20">
        <v>2023</v>
      </c>
      <c r="G11" s="4" t="s">
        <v>180</v>
      </c>
      <c r="H11" t="s">
        <v>83</v>
      </c>
    </row>
    <row r="12" spans="2:10" ht="14.25" x14ac:dyDescent="0.15">
      <c r="B12" s="9"/>
      <c r="E12" s="20">
        <v>2024</v>
      </c>
      <c r="F12" s="5"/>
      <c r="G12" s="12" t="s">
        <v>181</v>
      </c>
      <c r="H12" t="s">
        <v>84</v>
      </c>
    </row>
    <row r="13" spans="2:10" ht="14.25" x14ac:dyDescent="0.15">
      <c r="B13" s="9" t="s">
        <v>74</v>
      </c>
      <c r="C13" t="s">
        <v>288</v>
      </c>
      <c r="E13" s="20">
        <v>2025</v>
      </c>
      <c r="F13" s="5"/>
      <c r="G13" s="12" t="s">
        <v>182</v>
      </c>
      <c r="H13" t="s">
        <v>85</v>
      </c>
    </row>
    <row r="14" spans="2:10" ht="14.25" x14ac:dyDescent="0.15">
      <c r="B14" s="9" t="s">
        <v>285</v>
      </c>
      <c r="C14">
        <v>90</v>
      </c>
      <c r="E14" s="20">
        <v>2026</v>
      </c>
      <c r="G14" s="4" t="s">
        <v>183</v>
      </c>
      <c r="H14" t="s">
        <v>86</v>
      </c>
    </row>
    <row r="15" spans="2:10" ht="14.25" x14ac:dyDescent="0.15">
      <c r="B15" s="9" t="s">
        <v>286</v>
      </c>
      <c r="C15">
        <v>180</v>
      </c>
      <c r="E15" s="20">
        <v>2027</v>
      </c>
      <c r="F15" s="5"/>
      <c r="G15" s="12" t="s">
        <v>184</v>
      </c>
      <c r="H15" t="s">
        <v>87</v>
      </c>
    </row>
    <row r="16" spans="2:10" ht="14.25" x14ac:dyDescent="0.15">
      <c r="B16" s="9" t="s">
        <v>308</v>
      </c>
      <c r="C16">
        <v>270</v>
      </c>
      <c r="E16" s="20">
        <v>2028</v>
      </c>
      <c r="F16" s="5"/>
      <c r="G16" s="12" t="s">
        <v>185</v>
      </c>
      <c r="H16" t="s">
        <v>88</v>
      </c>
    </row>
    <row r="17" spans="2:8" ht="14.25" x14ac:dyDescent="0.15">
      <c r="B17" s="9" t="s">
        <v>287</v>
      </c>
      <c r="C17">
        <v>360</v>
      </c>
      <c r="E17" s="20">
        <v>2029</v>
      </c>
      <c r="F17" s="5"/>
      <c r="G17" s="12" t="s">
        <v>186</v>
      </c>
      <c r="H17" t="s">
        <v>89</v>
      </c>
    </row>
    <row r="18" spans="2:8" ht="14.25" x14ac:dyDescent="0.15">
      <c r="B18" s="9"/>
      <c r="E18" s="20">
        <v>2030</v>
      </c>
      <c r="G18" s="4" t="s">
        <v>187</v>
      </c>
      <c r="H18" t="s">
        <v>90</v>
      </c>
    </row>
    <row r="19" spans="2:8" ht="14.25" x14ac:dyDescent="0.15">
      <c r="E19" s="20">
        <v>2031</v>
      </c>
      <c r="G19" s="4" t="s">
        <v>188</v>
      </c>
      <c r="H19" t="s">
        <v>91</v>
      </c>
    </row>
    <row r="20" spans="2:8" ht="14.25" x14ac:dyDescent="0.15">
      <c r="E20" s="20">
        <v>2032</v>
      </c>
      <c r="G20" s="4" t="s">
        <v>189</v>
      </c>
      <c r="H20" t="s">
        <v>92</v>
      </c>
    </row>
    <row r="21" spans="2:8" ht="14.25" x14ac:dyDescent="0.15">
      <c r="E21" s="20">
        <v>2033</v>
      </c>
      <c r="G21" s="4" t="s">
        <v>190</v>
      </c>
      <c r="H21" t="s">
        <v>93</v>
      </c>
    </row>
    <row r="22" spans="2:8" ht="14.25" x14ac:dyDescent="0.15">
      <c r="E22" s="20">
        <v>2034</v>
      </c>
      <c r="G22" s="4" t="s">
        <v>191</v>
      </c>
      <c r="H22" t="s">
        <v>94</v>
      </c>
    </row>
    <row r="23" spans="2:8" ht="14.25" x14ac:dyDescent="0.15">
      <c r="E23" s="20">
        <v>2035</v>
      </c>
      <c r="G23" s="4" t="s">
        <v>192</v>
      </c>
      <c r="H23" t="s">
        <v>0</v>
      </c>
    </row>
    <row r="24" spans="2:8" ht="14.25" x14ac:dyDescent="0.15">
      <c r="E24" s="20">
        <v>2036</v>
      </c>
      <c r="G24" s="4" t="s">
        <v>193</v>
      </c>
      <c r="H24" t="s">
        <v>95</v>
      </c>
    </row>
    <row r="25" spans="2:8" ht="14.25" x14ac:dyDescent="0.15">
      <c r="E25" s="20">
        <v>2037</v>
      </c>
      <c r="G25" s="4" t="s">
        <v>194</v>
      </c>
      <c r="H25" t="s">
        <v>96</v>
      </c>
    </row>
    <row r="26" spans="2:8" ht="14.25" x14ac:dyDescent="0.15">
      <c r="E26" s="20">
        <v>2038</v>
      </c>
      <c r="G26" s="4" t="s">
        <v>195</v>
      </c>
      <c r="H26" t="s">
        <v>97</v>
      </c>
    </row>
    <row r="27" spans="2:8" ht="14.25" x14ac:dyDescent="0.15">
      <c r="E27" s="20">
        <v>2039</v>
      </c>
      <c r="G27" s="4" t="s">
        <v>196</v>
      </c>
      <c r="H27" t="s">
        <v>98</v>
      </c>
    </row>
    <row r="28" spans="2:8" ht="14.25" x14ac:dyDescent="0.15">
      <c r="E28" s="20">
        <v>2040</v>
      </c>
      <c r="G28" s="4" t="s">
        <v>197</v>
      </c>
      <c r="H28" t="s">
        <v>99</v>
      </c>
    </row>
    <row r="29" spans="2:8" ht="14.25" x14ac:dyDescent="0.15">
      <c r="E29" s="20">
        <v>2041</v>
      </c>
      <c r="G29" s="4" t="s">
        <v>198</v>
      </c>
      <c r="H29" t="s">
        <v>100</v>
      </c>
    </row>
    <row r="30" spans="2:8" ht="14.25" x14ac:dyDescent="0.15">
      <c r="E30" s="20">
        <v>2042</v>
      </c>
      <c r="G30" s="4" t="s">
        <v>199</v>
      </c>
      <c r="H30" t="s">
        <v>101</v>
      </c>
    </row>
    <row r="31" spans="2:8" ht="14.25" x14ac:dyDescent="0.15">
      <c r="E31" s="20">
        <v>2043</v>
      </c>
      <c r="G31" s="4" t="s">
        <v>200</v>
      </c>
      <c r="H31" t="s">
        <v>102</v>
      </c>
    </row>
    <row r="32" spans="2:8" ht="14.25" x14ac:dyDescent="0.15">
      <c r="E32" s="20">
        <v>2044</v>
      </c>
      <c r="G32" s="4" t="s">
        <v>201</v>
      </c>
      <c r="H32" t="s">
        <v>103</v>
      </c>
    </row>
    <row r="33" spans="5:8" ht="14.25" x14ac:dyDescent="0.15">
      <c r="E33" s="20">
        <v>2045</v>
      </c>
      <c r="G33" s="4" t="s">
        <v>202</v>
      </c>
      <c r="H33" t="s">
        <v>104</v>
      </c>
    </row>
    <row r="34" spans="5:8" ht="14.25" x14ac:dyDescent="0.15">
      <c r="E34" s="20">
        <v>2046</v>
      </c>
      <c r="G34" s="4" t="s">
        <v>203</v>
      </c>
      <c r="H34" t="s">
        <v>105</v>
      </c>
    </row>
    <row r="35" spans="5:8" ht="14.25" x14ac:dyDescent="0.15">
      <c r="E35" s="20">
        <v>2047</v>
      </c>
      <c r="G35" s="4" t="s">
        <v>204</v>
      </c>
      <c r="H35" t="s">
        <v>106</v>
      </c>
    </row>
    <row r="36" spans="5:8" ht="14.25" x14ac:dyDescent="0.15">
      <c r="E36" s="20">
        <v>2048</v>
      </c>
      <c r="G36" s="4" t="s">
        <v>205</v>
      </c>
      <c r="H36" t="s">
        <v>107</v>
      </c>
    </row>
    <row r="37" spans="5:8" ht="14.25" x14ac:dyDescent="0.15">
      <c r="E37" s="20">
        <v>2049</v>
      </c>
      <c r="G37" s="4" t="s">
        <v>206</v>
      </c>
      <c r="H37" t="s">
        <v>108</v>
      </c>
    </row>
    <row r="38" spans="5:8" ht="14.25" x14ac:dyDescent="0.15">
      <c r="E38" s="20">
        <v>2050</v>
      </c>
      <c r="G38" s="4" t="s">
        <v>207</v>
      </c>
      <c r="H38" t="s">
        <v>109</v>
      </c>
    </row>
    <row r="39" spans="5:8" x14ac:dyDescent="0.15">
      <c r="G39" s="4" t="s">
        <v>208</v>
      </c>
      <c r="H39" t="s">
        <v>110</v>
      </c>
    </row>
    <row r="40" spans="5:8" x14ac:dyDescent="0.15">
      <c r="G40" s="4" t="s">
        <v>209</v>
      </c>
      <c r="H40" t="s">
        <v>111</v>
      </c>
    </row>
    <row r="41" spans="5:8" x14ac:dyDescent="0.15">
      <c r="G41" s="4" t="s">
        <v>210</v>
      </c>
      <c r="H41" t="s">
        <v>112</v>
      </c>
    </row>
    <row r="42" spans="5:8" x14ac:dyDescent="0.15">
      <c r="G42" s="4" t="s">
        <v>211</v>
      </c>
      <c r="H42" t="s">
        <v>113</v>
      </c>
    </row>
    <row r="43" spans="5:8" x14ac:dyDescent="0.15">
      <c r="G43" s="4" t="s">
        <v>212</v>
      </c>
      <c r="H43" t="s">
        <v>114</v>
      </c>
    </row>
    <row r="44" spans="5:8" x14ac:dyDescent="0.15">
      <c r="G44" s="4" t="s">
        <v>213</v>
      </c>
      <c r="H44" t="s">
        <v>115</v>
      </c>
    </row>
    <row r="45" spans="5:8" x14ac:dyDescent="0.15">
      <c r="G45" s="4" t="s">
        <v>214</v>
      </c>
      <c r="H45" t="s">
        <v>116</v>
      </c>
    </row>
    <row r="46" spans="5:8" x14ac:dyDescent="0.15">
      <c r="G46" s="4" t="s">
        <v>215</v>
      </c>
      <c r="H46" t="s">
        <v>117</v>
      </c>
    </row>
    <row r="47" spans="5:8" x14ac:dyDescent="0.15">
      <c r="G47" s="4" t="s">
        <v>216</v>
      </c>
      <c r="H47" t="s">
        <v>118</v>
      </c>
    </row>
    <row r="48" spans="5:8" x14ac:dyDescent="0.15">
      <c r="G48" s="4" t="s">
        <v>217</v>
      </c>
      <c r="H48" t="s">
        <v>119</v>
      </c>
    </row>
    <row r="49" spans="7:8" x14ac:dyDescent="0.15">
      <c r="G49" s="4" t="s">
        <v>218</v>
      </c>
      <c r="H49" t="s">
        <v>120</v>
      </c>
    </row>
    <row r="50" spans="7:8" x14ac:dyDescent="0.15">
      <c r="G50" s="4" t="s">
        <v>219</v>
      </c>
      <c r="H50" t="s">
        <v>121</v>
      </c>
    </row>
    <row r="51" spans="7:8" x14ac:dyDescent="0.15">
      <c r="G51" s="4" t="s">
        <v>220</v>
      </c>
      <c r="H51" t="s">
        <v>122</v>
      </c>
    </row>
    <row r="52" spans="7:8" x14ac:dyDescent="0.15">
      <c r="G52" s="4" t="s">
        <v>221</v>
      </c>
      <c r="H52" t="s">
        <v>123</v>
      </c>
    </row>
    <row r="53" spans="7:8" x14ac:dyDescent="0.15">
      <c r="G53" s="4" t="s">
        <v>222</v>
      </c>
      <c r="H53" t="s">
        <v>124</v>
      </c>
    </row>
    <row r="54" spans="7:8" x14ac:dyDescent="0.15">
      <c r="G54" s="4" t="s">
        <v>223</v>
      </c>
      <c r="H54" t="s">
        <v>125</v>
      </c>
    </row>
    <row r="55" spans="7:8" x14ac:dyDescent="0.15">
      <c r="G55" s="4" t="s">
        <v>224</v>
      </c>
      <c r="H55" t="s">
        <v>126</v>
      </c>
    </row>
    <row r="56" spans="7:8" x14ac:dyDescent="0.15">
      <c r="G56" s="4" t="s">
        <v>225</v>
      </c>
      <c r="H56" t="s">
        <v>127</v>
      </c>
    </row>
    <row r="57" spans="7:8" x14ac:dyDescent="0.15">
      <c r="G57" s="4" t="s">
        <v>226</v>
      </c>
      <c r="H57" t="s">
        <v>128</v>
      </c>
    </row>
    <row r="58" spans="7:8" x14ac:dyDescent="0.15">
      <c r="G58" s="4" t="s">
        <v>227</v>
      </c>
      <c r="H58" t="s">
        <v>129</v>
      </c>
    </row>
    <row r="59" spans="7:8" x14ac:dyDescent="0.15">
      <c r="G59" s="4" t="s">
        <v>228</v>
      </c>
      <c r="H59" t="s">
        <v>130</v>
      </c>
    </row>
    <row r="60" spans="7:8" x14ac:dyDescent="0.15">
      <c r="G60" s="4" t="s">
        <v>229</v>
      </c>
      <c r="H60" t="s">
        <v>131</v>
      </c>
    </row>
    <row r="61" spans="7:8" x14ac:dyDescent="0.15">
      <c r="G61" s="4" t="s">
        <v>230</v>
      </c>
      <c r="H61" t="s">
        <v>132</v>
      </c>
    </row>
    <row r="62" spans="7:8" x14ac:dyDescent="0.15">
      <c r="G62" s="4" t="s">
        <v>231</v>
      </c>
      <c r="H62" t="s">
        <v>133</v>
      </c>
    </row>
    <row r="63" spans="7:8" x14ac:dyDescent="0.15">
      <c r="G63" s="4" t="s">
        <v>232</v>
      </c>
      <c r="H63" t="s">
        <v>134</v>
      </c>
    </row>
    <row r="64" spans="7:8" x14ac:dyDescent="0.15">
      <c r="G64" s="4" t="s">
        <v>233</v>
      </c>
      <c r="H64" t="s">
        <v>135</v>
      </c>
    </row>
    <row r="65" spans="7:8" x14ac:dyDescent="0.15">
      <c r="G65" s="4" t="s">
        <v>234</v>
      </c>
      <c r="H65" t="s">
        <v>136</v>
      </c>
    </row>
    <row r="66" spans="7:8" x14ac:dyDescent="0.15">
      <c r="G66" s="4" t="s">
        <v>235</v>
      </c>
      <c r="H66" t="s">
        <v>137</v>
      </c>
    </row>
    <row r="67" spans="7:8" x14ac:dyDescent="0.15">
      <c r="G67" s="4" t="s">
        <v>236</v>
      </c>
      <c r="H67" t="s">
        <v>138</v>
      </c>
    </row>
    <row r="68" spans="7:8" x14ac:dyDescent="0.15">
      <c r="G68" s="4" t="s">
        <v>237</v>
      </c>
      <c r="H68" t="s">
        <v>139</v>
      </c>
    </row>
    <row r="69" spans="7:8" x14ac:dyDescent="0.15">
      <c r="G69" s="4" t="s">
        <v>238</v>
      </c>
      <c r="H69" t="s">
        <v>140</v>
      </c>
    </row>
    <row r="70" spans="7:8" x14ac:dyDescent="0.15">
      <c r="G70" s="4" t="s">
        <v>239</v>
      </c>
      <c r="H70" t="s">
        <v>141</v>
      </c>
    </row>
    <row r="71" spans="7:8" x14ac:dyDescent="0.15">
      <c r="G71" s="4" t="s">
        <v>240</v>
      </c>
      <c r="H71" t="s">
        <v>142</v>
      </c>
    </row>
    <row r="72" spans="7:8" x14ac:dyDescent="0.15">
      <c r="G72" s="4" t="s">
        <v>241</v>
      </c>
      <c r="H72" t="s">
        <v>143</v>
      </c>
    </row>
    <row r="73" spans="7:8" x14ac:dyDescent="0.15">
      <c r="G73" s="4" t="s">
        <v>242</v>
      </c>
      <c r="H73" t="s">
        <v>144</v>
      </c>
    </row>
    <row r="74" spans="7:8" x14ac:dyDescent="0.15">
      <c r="G74" s="4" t="s">
        <v>243</v>
      </c>
      <c r="H74" t="s">
        <v>145</v>
      </c>
    </row>
    <row r="75" spans="7:8" x14ac:dyDescent="0.15">
      <c r="G75" s="4" t="s">
        <v>244</v>
      </c>
      <c r="H75" t="s">
        <v>146</v>
      </c>
    </row>
    <row r="76" spans="7:8" x14ac:dyDescent="0.15">
      <c r="G76" s="4" t="s">
        <v>245</v>
      </c>
      <c r="H76" t="s">
        <v>147</v>
      </c>
    </row>
    <row r="77" spans="7:8" x14ac:dyDescent="0.15">
      <c r="G77" s="4" t="s">
        <v>246</v>
      </c>
      <c r="H77" t="s">
        <v>148</v>
      </c>
    </row>
    <row r="78" spans="7:8" x14ac:dyDescent="0.15">
      <c r="G78" s="4" t="s">
        <v>247</v>
      </c>
      <c r="H78" t="s">
        <v>149</v>
      </c>
    </row>
    <row r="79" spans="7:8" x14ac:dyDescent="0.15">
      <c r="G79" s="4" t="s">
        <v>248</v>
      </c>
      <c r="H79" t="s">
        <v>150</v>
      </c>
    </row>
    <row r="80" spans="7:8" x14ac:dyDescent="0.15">
      <c r="G80" s="4" t="s">
        <v>249</v>
      </c>
      <c r="H80" t="s">
        <v>151</v>
      </c>
    </row>
    <row r="81" spans="7:8" x14ac:dyDescent="0.15">
      <c r="G81" s="4" t="s">
        <v>250</v>
      </c>
      <c r="H81" t="s">
        <v>152</v>
      </c>
    </row>
    <row r="82" spans="7:8" x14ac:dyDescent="0.15">
      <c r="G82" s="4" t="s">
        <v>251</v>
      </c>
      <c r="H82" t="s">
        <v>153</v>
      </c>
    </row>
    <row r="83" spans="7:8" x14ac:dyDescent="0.15">
      <c r="G83" s="4" t="s">
        <v>252</v>
      </c>
      <c r="H83" t="s">
        <v>154</v>
      </c>
    </row>
    <row r="84" spans="7:8" x14ac:dyDescent="0.15">
      <c r="G84" s="4" t="s">
        <v>253</v>
      </c>
      <c r="H84" t="s">
        <v>155</v>
      </c>
    </row>
    <row r="85" spans="7:8" x14ac:dyDescent="0.15">
      <c r="G85" s="4" t="s">
        <v>254</v>
      </c>
      <c r="H85" t="s">
        <v>156</v>
      </c>
    </row>
    <row r="86" spans="7:8" x14ac:dyDescent="0.15">
      <c r="G86" s="4" t="s">
        <v>255</v>
      </c>
      <c r="H86" t="s">
        <v>157</v>
      </c>
    </row>
    <row r="87" spans="7:8" x14ac:dyDescent="0.15">
      <c r="G87" s="4" t="s">
        <v>256</v>
      </c>
      <c r="H87" t="s">
        <v>158</v>
      </c>
    </row>
    <row r="88" spans="7:8" x14ac:dyDescent="0.15">
      <c r="G88" s="4" t="s">
        <v>257</v>
      </c>
      <c r="H88" t="s">
        <v>159</v>
      </c>
    </row>
    <row r="89" spans="7:8" x14ac:dyDescent="0.15">
      <c r="G89" s="4" t="s">
        <v>258</v>
      </c>
      <c r="H89" t="s">
        <v>160</v>
      </c>
    </row>
    <row r="90" spans="7:8" x14ac:dyDescent="0.15">
      <c r="G90" s="4" t="s">
        <v>259</v>
      </c>
      <c r="H90" t="s">
        <v>161</v>
      </c>
    </row>
    <row r="91" spans="7:8" x14ac:dyDescent="0.15">
      <c r="G91" s="4" t="s">
        <v>260</v>
      </c>
      <c r="H91" t="s">
        <v>162</v>
      </c>
    </row>
    <row r="92" spans="7:8" x14ac:dyDescent="0.15">
      <c r="G92" s="4" t="s">
        <v>261</v>
      </c>
      <c r="H92" t="s">
        <v>163</v>
      </c>
    </row>
    <row r="93" spans="7:8" x14ac:dyDescent="0.15">
      <c r="G93" s="4" t="s">
        <v>262</v>
      </c>
      <c r="H93" t="s">
        <v>164</v>
      </c>
    </row>
    <row r="94" spans="7:8" x14ac:dyDescent="0.15">
      <c r="G94" s="4" t="s">
        <v>263</v>
      </c>
      <c r="H94" t="s">
        <v>165</v>
      </c>
    </row>
    <row r="95" spans="7:8" x14ac:dyDescent="0.15">
      <c r="G95" s="4" t="s">
        <v>264</v>
      </c>
      <c r="H95" t="s">
        <v>166</v>
      </c>
    </row>
    <row r="96" spans="7:8" x14ac:dyDescent="0.15">
      <c r="G96" s="4" t="s">
        <v>265</v>
      </c>
      <c r="H96" t="s">
        <v>167</v>
      </c>
    </row>
    <row r="97" spans="7:8" x14ac:dyDescent="0.15">
      <c r="G97" s="4" t="s">
        <v>266</v>
      </c>
      <c r="H97" t="s">
        <v>168</v>
      </c>
    </row>
    <row r="98" spans="7:8" x14ac:dyDescent="0.15">
      <c r="G98" s="4" t="s">
        <v>267</v>
      </c>
      <c r="H98" t="s">
        <v>169</v>
      </c>
    </row>
    <row r="99" spans="7:8" x14ac:dyDescent="0.15">
      <c r="G99" s="4" t="s">
        <v>268</v>
      </c>
      <c r="H99" t="s">
        <v>170</v>
      </c>
    </row>
    <row r="100" spans="7:8" x14ac:dyDescent="0.15">
      <c r="G100" s="4" t="s">
        <v>269</v>
      </c>
      <c r="H100" t="s">
        <v>171</v>
      </c>
    </row>
    <row r="101" spans="7:8" x14ac:dyDescent="0.15">
      <c r="G101" s="4" t="s">
        <v>270</v>
      </c>
      <c r="H101" t="s">
        <v>172</v>
      </c>
    </row>
    <row r="102" spans="7:8" x14ac:dyDescent="0.15">
      <c r="G102" s="4" t="s">
        <v>271</v>
      </c>
      <c r="H102" t="s">
        <v>173</v>
      </c>
    </row>
    <row r="103" spans="7:8" x14ac:dyDescent="0.15">
      <c r="G103" s="4" t="s">
        <v>272</v>
      </c>
      <c r="H103" t="s">
        <v>174</v>
      </c>
    </row>
    <row r="104" spans="7:8" x14ac:dyDescent="0.15">
      <c r="G104" s="4" t="s">
        <v>273</v>
      </c>
      <c r="H104" t="s">
        <v>175</v>
      </c>
    </row>
  </sheetData>
  <phoneticPr fontId="22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7B2387EA-57E4-4B1E-85FA-81ED135AF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mostafamohamed.1469@gmail.com</dc:creator>
  <cp:lastModifiedBy>mostafamohamed.1469@gmail.com</cp:lastModifiedBy>
  <dcterms:created xsi:type="dcterms:W3CDTF">2024-08-13T14:21:33Z</dcterms:created>
  <dcterms:modified xsi:type="dcterms:W3CDTF">2024-09-06T19:17:16Z</dcterms:modified>
</cp:coreProperties>
</file>